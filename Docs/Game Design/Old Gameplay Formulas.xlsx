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シート10" sheetId="1" r:id="rId5"/>
    <sheet state="visible" name="CALCULATOR" sheetId="2" r:id="rId6"/>
    <sheet state="visible" name="DEFAULT CLUBS-COMMON" sheetId="3" r:id="rId7"/>
    <sheet state="visible" name="DEFAULT CLUBS-UNCOMMON" sheetId="4" r:id="rId8"/>
    <sheet state="visible" name="DEFAULT CLUBS-RARE" sheetId="5" r:id="rId9"/>
    <sheet state="visible" name="DEFAULT CLUBS-MYTHIC" sheetId="6" r:id="rId10"/>
    <sheet state="visible" name="DEFAULT CLUBS-LEGENDARY" sheetId="7" r:id="rId11"/>
    <sheet state="visible" name="DEFAULT CLUBS-SUPREME" sheetId="8" r:id="rId12"/>
    <sheet state="visible" name="CLUB CONTROL" sheetId="9" r:id="rId13"/>
    <sheet state="visible" name="RECOVERY" sheetId="10" r:id="rId14"/>
    <sheet state="visible" name="SPIN" sheetId="11" r:id="rId15"/>
    <sheet state="visible" name="ACCURACY" sheetId="12" r:id="rId16"/>
    <sheet state="visible" name="POWER" sheetId="13" r:id="rId17"/>
    <sheet state="visible" name="BALL FORMULAS" sheetId="14" r:id="rId18"/>
  </sheets>
  <definedNames/>
  <calcPr/>
</workbook>
</file>

<file path=xl/sharedStrings.xml><?xml version="1.0" encoding="utf-8"?>
<sst xmlns="http://schemas.openxmlformats.org/spreadsheetml/2006/main" count="4111" uniqueCount="384">
  <si>
    <t>total distance (carry + roll)</t>
  </si>
  <si>
    <t>Novice with bad clubs</t>
  </si>
  <si>
    <t>Novice</t>
  </si>
  <si>
    <t>Amateur golfer</t>
  </si>
  <si>
    <t>Pro Golfer</t>
  </si>
  <si>
    <t>Super Pro Golfer</t>
  </si>
  <si>
    <t>COMMON</t>
  </si>
  <si>
    <t>UNCOMMON</t>
  </si>
  <si>
    <t>RARE</t>
  </si>
  <si>
    <t>MYTHIC</t>
  </si>
  <si>
    <t>LEGEND</t>
  </si>
  <si>
    <t>SUPREME</t>
  </si>
  <si>
    <t>Driver</t>
  </si>
  <si>
    <t>3-Wood</t>
  </si>
  <si>
    <t>5-Wood</t>
  </si>
  <si>
    <t>7-Wood</t>
  </si>
  <si>
    <t>3-Iron</t>
  </si>
  <si>
    <t>4-Iron</t>
  </si>
  <si>
    <t>5-Iron</t>
  </si>
  <si>
    <t>6-Iron</t>
  </si>
  <si>
    <t>7-Iron</t>
  </si>
  <si>
    <t>8-Iron</t>
  </si>
  <si>
    <t>9-Iron</t>
  </si>
  <si>
    <t>Pitching Wedge</t>
  </si>
  <si>
    <t>Approach Wedge</t>
  </si>
  <si>
    <t>PWedge -&gt; AWedge-&gt;SWedge</t>
  </si>
  <si>
    <t>Sand Wedge</t>
  </si>
  <si>
    <t>.</t>
  </si>
  <si>
    <t>Randomizer</t>
  </si>
  <si>
    <t>Mechanical Misake</t>
  </si>
  <si>
    <t>CHARCTER</t>
  </si>
  <si>
    <t>UPGRADES</t>
  </si>
  <si>
    <t>Bunker</t>
  </si>
  <si>
    <t>SemiRough</t>
  </si>
  <si>
    <t>ROLL AFTER COEFFICIENT</t>
  </si>
  <si>
    <t>1/-1</t>
  </si>
  <si>
    <t>Base Parameter</t>
  </si>
  <si>
    <t>Parameter</t>
  </si>
  <si>
    <t>Base Rar Dist</t>
  </si>
  <si>
    <t>SHOT DISTANCE</t>
  </si>
  <si>
    <t>ACC. Coeff</t>
  </si>
  <si>
    <t>Shot Power Multiplyer</t>
  </si>
  <si>
    <t>ACC. DEVIATION</t>
  </si>
  <si>
    <t>REC. FOR ACC</t>
  </si>
  <si>
    <t>REC. FOR POWER</t>
  </si>
  <si>
    <t>TOP SPIN</t>
  </si>
  <si>
    <t>NO SPIN</t>
  </si>
  <si>
    <t>BACK SPIN</t>
  </si>
  <si>
    <t>Deviation</t>
  </si>
  <si>
    <t>SIDE SPIN POWER</t>
  </si>
  <si>
    <t>Calculated Spin</t>
  </si>
  <si>
    <t>DEFAULT</t>
  </si>
  <si>
    <t>Power</t>
  </si>
  <si>
    <t>STRENGTH</t>
  </si>
  <si>
    <t>Accuracy</t>
  </si>
  <si>
    <t>Mistake based on Rarity</t>
  </si>
  <si>
    <t>CLUB CONTROL</t>
  </si>
  <si>
    <t>Spin</t>
  </si>
  <si>
    <t>STAMINA</t>
  </si>
  <si>
    <t>Loft</t>
  </si>
  <si>
    <t>STAMINA REG</t>
  </si>
  <si>
    <t>Recovery</t>
  </si>
  <si>
    <t>Durability</t>
  </si>
  <si>
    <t>PLEASE CHANGE ONLY YELLOW FIELDS</t>
  </si>
  <si>
    <t>P.Wedge</t>
  </si>
  <si>
    <t>A.Wedge</t>
  </si>
  <si>
    <t>S.Wedge</t>
  </si>
  <si>
    <t>Putter</t>
  </si>
  <si>
    <t>-</t>
  </si>
  <si>
    <t>LEGENDARY</t>
  </si>
  <si>
    <t>SIDE SPIN</t>
  </si>
  <si>
    <t>Club Control of a Character</t>
  </si>
  <si>
    <t>Directly affects the size of outer circles</t>
  </si>
  <si>
    <t>%</t>
  </si>
  <si>
    <t>Chara</t>
  </si>
  <si>
    <t>ZONE SIZE</t>
  </si>
  <si>
    <t>SIZE OF THE OUTER CIRCLES</t>
  </si>
  <si>
    <r>
      <rPr>
        <rFont val="Arial"/>
        <b/>
        <color theme="1"/>
      </rPr>
      <t>Size:</t>
    </r>
    <r>
      <rPr>
        <rFont val="Arial"/>
        <color theme="1"/>
      </rPr>
      <t xml:space="preserve"> (30+(70*square root((A-10)/515)))*Club Control Penalty Based on Terrain</t>
    </r>
  </si>
  <si>
    <r>
      <rPr>
        <rFont val="Arial"/>
        <b/>
        <color theme="1"/>
      </rPr>
      <t>A:</t>
    </r>
    <r>
      <rPr>
        <rFont val="Arial"/>
        <color theme="1"/>
      </rPr>
      <t xml:space="preserve"> Club Control Parameter</t>
    </r>
  </si>
  <si>
    <t>Club Control penalty based on type of terrain and type of the club</t>
  </si>
  <si>
    <t>Fairway</t>
  </si>
  <si>
    <t>Rough</t>
  </si>
  <si>
    <t>Fringe</t>
  </si>
  <si>
    <t>driver</t>
  </si>
  <si>
    <t>RECOVERY of the Club</t>
  </si>
  <si>
    <t>Affects how easy it is to make shots from the rough and bunker</t>
  </si>
  <si>
    <t>Accuracy penalty based on type of terrain and type of the club</t>
  </si>
  <si>
    <t>Power terrain multiplier based on type of terrain and type of the club</t>
  </si>
  <si>
    <t>As Recovery increases, the penalty that terrain inflicts on other parameters is decreased</t>
  </si>
  <si>
    <t>RECOVERY FOR ACCURACY</t>
  </si>
  <si>
    <r>
      <rPr>
        <rFont val="Arial"/>
        <b/>
        <color theme="1"/>
      </rPr>
      <t xml:space="preserve">RECOVERY FOR ACCURACY DEVIATION: </t>
    </r>
    <r>
      <rPr>
        <rFont val="Arial"/>
        <color theme="1"/>
      </rPr>
      <t>1+(A-1)*(1-B/500)</t>
    </r>
  </si>
  <si>
    <r>
      <rPr>
        <rFont val="Arial"/>
        <b/>
        <color theme="1"/>
      </rPr>
      <t xml:space="preserve">A: </t>
    </r>
    <r>
      <rPr>
        <rFont val="Arial"/>
        <color theme="1"/>
      </rPr>
      <t>Accuracy penalty based on type of terrain and type of the club</t>
    </r>
  </si>
  <si>
    <r>
      <rPr>
        <rFont val="Arial"/>
        <b/>
        <color theme="1"/>
      </rPr>
      <t>B:</t>
    </r>
    <r>
      <rPr>
        <rFont val="Arial"/>
        <color theme="1"/>
      </rPr>
      <t xml:space="preserve"> Club Recovery Parameter</t>
    </r>
  </si>
  <si>
    <t>RECOVERY FOR POWER</t>
  </si>
  <si>
    <r>
      <rPr>
        <rFont val="Arial"/>
        <b/>
        <color theme="1"/>
      </rPr>
      <t>RECOVERY FOR POWER DEVIATION:</t>
    </r>
    <r>
      <rPr>
        <rFont val="Arial"/>
        <color theme="1"/>
      </rPr>
      <t xml:space="preserve"> C+((1-C)*0.5*D/400)</t>
    </r>
  </si>
  <si>
    <r>
      <rPr>
        <rFont val="Arial"/>
        <b/>
        <color theme="1"/>
      </rPr>
      <t>C:</t>
    </r>
    <r>
      <rPr>
        <rFont val="Arial"/>
        <color theme="1"/>
      </rPr>
      <t xml:space="preserve"> Power terrain multiplier based on type of terrain and type of the club</t>
    </r>
  </si>
  <si>
    <r>
      <rPr>
        <rFont val="Arial"/>
        <b/>
        <color theme="1"/>
      </rPr>
      <t xml:space="preserve">D: </t>
    </r>
    <r>
      <rPr>
        <rFont val="Arial"/>
        <color theme="1"/>
      </rPr>
      <t>Club Recovery Parameter</t>
    </r>
  </si>
  <si>
    <t>SR</t>
  </si>
  <si>
    <t>Natural Loft</t>
  </si>
  <si>
    <t>Lower point</t>
  </si>
  <si>
    <t>Middle</t>
  </si>
  <si>
    <t>Higher Point</t>
  </si>
  <si>
    <t>SPIN of the Club</t>
  </si>
  <si>
    <t xml:space="preserve">Affects the maximum amount of angle players can hit the ball with </t>
  </si>
  <si>
    <t>to add to the Natural Loft of the club</t>
  </si>
  <si>
    <t>SPIN EFFECT ON ANGLE OF THE SHOT (only for vertical points)</t>
  </si>
  <si>
    <t>ANGLE</t>
  </si>
  <si>
    <r>
      <rPr>
        <rFont val="Arial"/>
        <b/>
        <color theme="1"/>
      </rPr>
      <t>Deviation:</t>
    </r>
    <r>
      <rPr>
        <rFont val="Arial"/>
        <color theme="1"/>
      </rPr>
      <t xml:space="preserve"> 3*(Spin club parameter /100)</t>
    </r>
  </si>
  <si>
    <r>
      <rPr>
        <rFont val="Arial"/>
        <b/>
        <color theme="1"/>
      </rPr>
      <t>When Lowest Point is selected:</t>
    </r>
    <r>
      <rPr>
        <rFont val="Arial"/>
        <color theme="1"/>
      </rPr>
      <t xml:space="preserve"> (Natural Loft+(Deviation*1.5))/1.3</t>
    </r>
  </si>
  <si>
    <r>
      <rPr>
        <rFont val="Arial"/>
        <b/>
        <color theme="1"/>
      </rPr>
      <t>When Default Point is selected:</t>
    </r>
    <r>
      <rPr>
        <rFont val="Arial"/>
        <color theme="1"/>
      </rPr>
      <t xml:space="preserve">  (Natural Loft+(Deviation*0))/1.3</t>
    </r>
  </si>
  <si>
    <r>
      <rPr>
        <rFont val="Arial"/>
        <b/>
        <color theme="1"/>
      </rPr>
      <t xml:space="preserve">When Highest Point is selected: </t>
    </r>
    <r>
      <rPr>
        <rFont val="Arial"/>
        <color theme="1"/>
      </rPr>
      <t xml:space="preserve"> (Natural Loft+(Deviation*-1.5))/1.3</t>
    </r>
  </si>
  <si>
    <t>SPIN</t>
  </si>
  <si>
    <t>Side spin</t>
  </si>
  <si>
    <t>spin parameter * 1 or -1 * club multiplyer</t>
  </si>
  <si>
    <t>Roll after spinned shot: CalculatedSpin * UserInputSpin * 0.3</t>
  </si>
  <si>
    <t>Calculated Spin: SpinParam * 2 * π(3.14) / 60</t>
  </si>
  <si>
    <t>For terrains</t>
  </si>
  <si>
    <t>Penalty for backspin input spin</t>
  </si>
  <si>
    <t>Spin of the Ball only affects zone on the ball</t>
  </si>
  <si>
    <t>Semi-rough</t>
  </si>
  <si>
    <t>On 0 you can't choose spin point</t>
  </si>
  <si>
    <t>On 5 you can choose any point on the ball</t>
  </si>
  <si>
    <t>Its radial</t>
  </si>
  <si>
    <t>Backspin decreases distance for random nubmer in range of 20-25%</t>
  </si>
  <si>
    <t>Formula</t>
  </si>
  <si>
    <t>It increases the height of flight for random value in range of 30-35%</t>
  </si>
  <si>
    <t>Input spin (only if &gt;0)*Terrain Penalty Multiplier</t>
  </si>
  <si>
    <t>side spin multiplyer</t>
  </si>
  <si>
    <t>Ball almost  doesnt' roll after the landing</t>
  </si>
  <si>
    <t>Frontspin increases distance for random nubmer in range of 15-20%</t>
  </si>
  <si>
    <t>It decreases the height of flight for random value in range of 25-30%</t>
  </si>
  <si>
    <t>Roll after spinned shot: CalculatedSpin * UserInputSpin * 8</t>
  </si>
  <si>
    <t>Ball rolls for a long time after the landing</t>
  </si>
  <si>
    <t>CLUB</t>
  </si>
  <si>
    <t>SPINPARAM</t>
  </si>
  <si>
    <t>INPUTSPIN</t>
  </si>
  <si>
    <t>FORMULA</t>
  </si>
  <si>
    <t>ROLL</t>
  </si>
  <si>
    <t>SURFACE</t>
  </si>
  <si>
    <t>CommonIron7</t>
  </si>
  <si>
    <t>0.1 (default)</t>
  </si>
  <si>
    <t>OLD</t>
  </si>
  <si>
    <t>28.5 yards</t>
  </si>
  <si>
    <t>1.33 (max backspin)</t>
  </si>
  <si>
    <t>22.6 yards</t>
  </si>
  <si>
    <t>-1.23 (max forwardspin)</t>
  </si>
  <si>
    <t>33.4 yards</t>
  </si>
  <si>
    <t>FORMULA: CalculatedSpin + CalculatedSpin * UserInputSpin * 0.4</t>
  </si>
  <si>
    <t>FORMULA: 10.46 + (10.46 * 0.1 * 0.4) = 10.8784</t>
  </si>
  <si>
    <t>FORMULA: 10.46 + (10.46 * 1.33 * 0.4) = 16.0247</t>
  </si>
  <si>
    <t>FORMULA: 10.46 + (10.46 * -1.23 * 0.4) = 5.3136</t>
  </si>
  <si>
    <t>CalculatedSpin Formula: SpinParam * 2 * π(3.14) / 60 [PHYSICS FORMULA]</t>
  </si>
  <si>
    <t>EXPERIMENT VALUE FOR SUPREME | 475 Spin</t>
  </si>
  <si>
    <t>FORMULA: 49.71 + (49.71 * 0.1 * 0.4) = 51.6984</t>
  </si>
  <si>
    <t>FORMULA: 49.71 + (49.71 * 1.33 * 0.4) = 76.1557</t>
  </si>
  <si>
    <t>FORMULA: 49.71 + (49.71 * -1.23 * 0.4) = 25.2526</t>
  </si>
  <si>
    <t>SUGGESTED NEW FORMULA</t>
  </si>
  <si>
    <t>FORMULA: CalculatedSpin * UserInputSpin * 0.3</t>
  </si>
  <si>
    <t>FORMULA: 10.46 * 0.1 * 0.4 = 0.4184</t>
  </si>
  <si>
    <t>FORMULA: 10.46 * 1.33 * 0.4 = 5.5647</t>
  </si>
  <si>
    <t>FORMULA: 10.46 * -1.23 * 0.4 = -5.1463</t>
  </si>
  <si>
    <t>FORMULA: 49.71 * 0.1 * 0.4 = 1.9884</t>
  </si>
  <si>
    <t>FORMULA: 49.71 * 1.33 * 0.4 = 26.4457</t>
  </si>
  <si>
    <t>FORMULA: 49.71 * -1.23 * 0.4 = -24.4573</t>
  </si>
  <si>
    <t>NEW</t>
  </si>
  <si>
    <t>31.4 yards</t>
  </si>
  <si>
    <t>29.5 yards</t>
  </si>
  <si>
    <t>33.3 yards</t>
  </si>
  <si>
    <t>12.5 yards</t>
  </si>
  <si>
    <t>122.3 yards</t>
  </si>
  <si>
    <t>NEW (0.3)</t>
  </si>
  <si>
    <t>13.3 yards</t>
  </si>
  <si>
    <t>63.9 yards</t>
  </si>
  <si>
    <t>COMMON - MISTAKE</t>
  </si>
  <si>
    <t>COMMON mistake</t>
  </si>
  <si>
    <t>UnCOMMON mistake</t>
  </si>
  <si>
    <r>
      <rPr>
        <rFont val="Arial"/>
        <b/>
        <color theme="1"/>
      </rPr>
      <t>Accuracy of the club</t>
    </r>
    <r>
      <rPr>
        <rFont val="Arial"/>
        <color theme="1"/>
      </rPr>
      <t xml:space="preserve"> - Affects the accuracy error deviation of non-perfect shots
</t>
    </r>
  </si>
  <si>
    <t>Acc Coeff</t>
  </si>
  <si>
    <t>Shot Power Multiplier</t>
  </si>
  <si>
    <t>Rare mistake</t>
  </si>
  <si>
    <t>Mythic Mistake</t>
  </si>
  <si>
    <t>Legendary Mistake</t>
  </si>
  <si>
    <t>COMMON Mistake</t>
  </si>
  <si>
    <t>ACCURACY DEVIATION</t>
  </si>
  <si>
    <r>
      <rPr>
        <rFont val="Arial"/>
        <b/>
        <color theme="1"/>
      </rPr>
      <t>Final Accuracy deviation:</t>
    </r>
    <r>
      <rPr>
        <rFont val="Arial"/>
        <color theme="1"/>
      </rPr>
      <t xml:space="preserve"> (Mistake based on Rarity*Shot Power Multiplyer*Accuracy coefficient*Mechanical Error Multiplier)*Terrain Accuracy Penalty</t>
    </r>
  </si>
  <si>
    <r>
      <rPr>
        <rFont val="Arial"/>
        <b/>
        <color theme="1"/>
      </rPr>
      <t>Accuracy coefficient:</t>
    </r>
    <r>
      <rPr>
        <rFont val="Arial"/>
        <color theme="1"/>
      </rPr>
      <t xml:space="preserve"> 1-(Club Accuracy Parameter/1000)</t>
    </r>
  </si>
  <si>
    <t>Accuracy Penalty is getting changed by recovery on that terrain</t>
  </si>
  <si>
    <r>
      <rPr>
        <rFont val="Arial"/>
        <b/>
        <color theme="1"/>
      </rPr>
      <t>Shot Power Multiplier:</t>
    </r>
    <r>
      <rPr>
        <rFont val="Arial"/>
        <color theme="1"/>
      </rPr>
      <t xml:space="preserve"> (Power/100​​)^0.5 rounded to three decimal places</t>
    </r>
  </si>
  <si>
    <r>
      <rPr>
        <rFont val="Arial"/>
        <b/>
        <color theme="1"/>
      </rPr>
      <t>Power of the club</t>
    </r>
    <r>
      <rPr>
        <rFont val="Arial"/>
        <color theme="1"/>
      </rPr>
      <t xml:space="preserve"> - Affects maximum shot distance
</t>
    </r>
    <r>
      <rPr>
        <rFont val="Arial"/>
        <b/>
        <color theme="1"/>
      </rPr>
      <t>Strength of the character</t>
    </r>
    <r>
      <rPr>
        <rFont val="Arial"/>
        <color theme="1"/>
      </rPr>
      <t xml:space="preserve"> - Directly affects max shot distance
</t>
    </r>
    <r>
      <rPr>
        <rFont val="Arial"/>
        <b/>
        <color theme="1"/>
      </rPr>
      <t>Power of the Ball</t>
    </r>
    <r>
      <rPr>
        <rFont val="Arial"/>
        <color theme="1"/>
      </rPr>
      <t xml:space="preserve"> - Affects max shot distance
</t>
    </r>
  </si>
  <si>
    <t>りんどうコース</t>
  </si>
  <si>
    <t>HOLE</t>
  </si>
  <si>
    <t>PAR</t>
  </si>
  <si>
    <t>POWER</t>
  </si>
  <si>
    <t>HDCP</t>
  </si>
  <si>
    <r>
      <rPr>
        <rFont val="Arial"/>
        <b/>
        <color theme="1"/>
      </rPr>
      <t>Final Shot distance</t>
    </r>
    <r>
      <rPr>
        <rFont val="Arial"/>
        <color theme="1"/>
      </rPr>
      <t xml:space="preserve"> = (Base distance of club based on rarity + (club power parameter/2) + base Str of character based on rarity +</t>
    </r>
  </si>
  <si>
    <t>A</t>
  </si>
  <si>
    <t>トーナメントティ</t>
  </si>
  <si>
    <r>
      <rPr>
        <rFont val="Arial"/>
        <color rgb="FF000000"/>
      </rPr>
      <t>(chara STR parameter/2) +</t>
    </r>
    <r>
      <rPr>
        <rFont val="Arial"/>
        <b/>
        <color rgb="FFFF0000"/>
      </rPr>
      <t xml:space="preserve"> (5% of spin parameter value*spin input)</t>
    </r>
    <r>
      <rPr>
        <rFont val="Arial"/>
        <color rgb="FF000000"/>
      </rPr>
      <t>+ball power parameter (if any) + randomizer (number from 1 to 15))*penalty from green ring</t>
    </r>
  </si>
  <si>
    <t>バックティ</t>
  </si>
  <si>
    <r>
      <rPr>
        <rFont val="Arial"/>
        <b/>
        <color theme="1"/>
      </rPr>
      <t>Terrain influence</t>
    </r>
    <r>
      <rPr>
        <rFont val="Arial"/>
        <color theme="1"/>
      </rPr>
      <t xml:space="preserve"> = final shot distance * terrain multiplyer</t>
    </r>
  </si>
  <si>
    <t>Terrain multiplyer is getting changed by recovery on that terrain</t>
  </si>
  <si>
    <t>レギュラーティ</t>
  </si>
  <si>
    <t>For Display (Total Distance):</t>
  </si>
  <si>
    <t>(Base distance of club based on rarity + (club power parameter/2) + base Str of character based on rarity + (chara STR parameter/2) + (5% of spin parameter value*default spin input)</t>
  </si>
  <si>
    <t>シルバーティ</t>
  </si>
  <si>
    <t xml:space="preserve">For Map View: </t>
  </si>
  <si>
    <t>For Display * terrain multiplyer</t>
  </si>
  <si>
    <t>レディースティ</t>
  </si>
  <si>
    <t>B</t>
  </si>
  <si>
    <t>PAR-2</t>
  </si>
  <si>
    <t>Shots except Putter</t>
  </si>
  <si>
    <t>Distance/(Par-2)</t>
  </si>
  <si>
    <t>Distance per Shot (minus putter)</t>
  </si>
  <si>
    <t>45% of distance</t>
  </si>
  <si>
    <t>distance minus driver shot</t>
  </si>
  <si>
    <t>distance per shot minus driver</t>
  </si>
  <si>
    <t>Power Penalties (Green Ring)</t>
  </si>
  <si>
    <t>Driver Shot</t>
  </si>
  <si>
    <t>Other Shot</t>
  </si>
  <si>
    <t>Distance done for par turns</t>
  </si>
  <si>
    <t>Used for game</t>
  </si>
  <si>
    <t>Final Shot distance for Wedges = (club power parameter + (5% of spin parameter value*spin input)+ball power parameter (if any) + randomizer (number from 0 to 3))*penalty from green ring</t>
  </si>
  <si>
    <t xml:space="preserve">Miss </t>
  </si>
  <si>
    <t>Nice</t>
  </si>
  <si>
    <t>50-60, 70-80</t>
  </si>
  <si>
    <t>Pefect</t>
  </si>
  <si>
    <t>Driver COMMON</t>
  </si>
  <si>
    <t>Other COMMON</t>
  </si>
  <si>
    <t>Fairway: Hitting from the fairway gives a 5% bonus to the players max shot distance</t>
  </si>
  <si>
    <t>Semi-Rough (First Cut): Hitting from the semi-rough gives a 20% debuff to the max shot distance</t>
  </si>
  <si>
    <t>Rough: Hitting from the rough gives a 40% debuff to the max shot distance</t>
  </si>
  <si>
    <t>Bunker: Hitting from the bunker gives a 60% debuff to the max shot distance</t>
  </si>
  <si>
    <t>base distance</t>
  </si>
  <si>
    <t>base character power</t>
  </si>
  <si>
    <t>How many points were put (1-25)</t>
  </si>
  <si>
    <t>final distance</t>
  </si>
  <si>
    <t>it means maximum skill points is</t>
  </si>
  <si>
    <t>COMMON: Lvl. 25</t>
  </si>
  <si>
    <t>UnCOMMON: Lvl. 40</t>
  </si>
  <si>
    <t>Rare: Lvl. 55</t>
  </si>
  <si>
    <t>Mythic: Lvl. 70 (old name: Epic)</t>
  </si>
  <si>
    <t>Legendary: Lvl. 85</t>
  </si>
  <si>
    <t>COMMON: Lvl. 100</t>
  </si>
  <si>
    <t>Base distance by rarity+</t>
  </si>
  <si>
    <t>parameter/2+</t>
  </si>
  <si>
    <t>base character power by rarity+</t>
  </si>
  <si>
    <t>Rebound</t>
  </si>
  <si>
    <t>Value</t>
  </si>
  <si>
    <t>explanation</t>
  </si>
  <si>
    <t>"+5"</t>
  </si>
  <si>
    <t xml:space="preserve">minus 25 to spin parameter </t>
  </si>
  <si>
    <t>plus 25.0 to Spin</t>
  </si>
  <si>
    <t>"+4"</t>
  </si>
  <si>
    <t xml:space="preserve">minus 20 to spin parameter </t>
  </si>
  <si>
    <t>plus 22.5 to Spin</t>
  </si>
  <si>
    <t>"+3"</t>
  </si>
  <si>
    <t xml:space="preserve">minus 15 to spin parameter </t>
  </si>
  <si>
    <t>plus 20.0 to Spin</t>
  </si>
  <si>
    <t>"+2"</t>
  </si>
  <si>
    <t xml:space="preserve">minus 10 to spin parameter </t>
  </si>
  <si>
    <t>plus 17.5 to Spin</t>
  </si>
  <si>
    <t>"+1"</t>
  </si>
  <si>
    <t xml:space="preserve">minus 5 to spin parameter </t>
  </si>
  <si>
    <t>plus 15.0 to Spin</t>
  </si>
  <si>
    <t>"-1"</t>
  </si>
  <si>
    <t>plus 5 to Spin Parameter</t>
  </si>
  <si>
    <t>plus 12.5 to Spin</t>
  </si>
  <si>
    <t>"-2"</t>
  </si>
  <si>
    <t>plus 10 to Spin Parameter</t>
  </si>
  <si>
    <t>plus 10.0 to Spin</t>
  </si>
  <si>
    <t>"-3"</t>
  </si>
  <si>
    <t>plus 15 to Spin Parameter</t>
  </si>
  <si>
    <t>plus 7.5 to Spin</t>
  </si>
  <si>
    <t>"-4"</t>
  </si>
  <si>
    <t>plus 20 to Spin Parameter</t>
  </si>
  <si>
    <t>plus 5.0 to Spin</t>
  </si>
  <si>
    <t>"-5"</t>
  </si>
  <si>
    <t>plus 25 to Spin Parameter</t>
  </si>
  <si>
    <t>plus 2.5 to Spin</t>
  </si>
  <si>
    <t>no change</t>
  </si>
  <si>
    <t>minus 2.5 to Spin</t>
  </si>
  <si>
    <t>minus 5.0 to Spin</t>
  </si>
  <si>
    <t>minus 7.5 to Spin</t>
  </si>
  <si>
    <t>minus 10.0 to Spin</t>
  </si>
  <si>
    <t>minus 12.5 to Spin</t>
  </si>
  <si>
    <t>minus 15.0 to Spin</t>
  </si>
  <si>
    <t>minus 17.5 to Spin</t>
  </si>
  <si>
    <t>minus 20.0 to Spin</t>
  </si>
  <si>
    <t>minus 22.5 to Spin</t>
  </si>
  <si>
    <t>minus 25.0 to Spin</t>
  </si>
  <si>
    <t>Roll after spinned shot: (CalculatedSpin * UserInputSpin * 8)+ball\s roll parameter</t>
  </si>
  <si>
    <t>Roll</t>
  </si>
  <si>
    <t>plus 20 yards to roll distance</t>
  </si>
  <si>
    <t>plus 16 yards to roll distance</t>
  </si>
  <si>
    <t>minus 20 yards from roll distance</t>
  </si>
  <si>
    <t>plus 12 yards to roll distance</t>
  </si>
  <si>
    <t>minus 18 yards from roll distance</t>
  </si>
  <si>
    <t>plus 8 yards to roll distance</t>
  </si>
  <si>
    <t>minus 16 yards from roll distance</t>
  </si>
  <si>
    <t>plus 4 yards to roll distance</t>
  </si>
  <si>
    <t>minus 14 yards from roll distance</t>
  </si>
  <si>
    <t>minus 4 yards from roll distance to a minimum of 5 yard</t>
  </si>
  <si>
    <t>minus 12 yards from roll distance</t>
  </si>
  <si>
    <t>minus 8 yards from roll distance to a minimum of 5 yard</t>
  </si>
  <si>
    <t>minus 10 yards from roll distance</t>
  </si>
  <si>
    <t>minus 12 yards from roll distance to a minimum of 5 yard</t>
  </si>
  <si>
    <t>minus 8 yards from roll distance</t>
  </si>
  <si>
    <t>minus 16 yards from roll distance to a minimum of 5 yard</t>
  </si>
  <si>
    <t>minus 6 yards from roll distance</t>
  </si>
  <si>
    <t>minus 20 yards from roll distance to a minimum of 5 yard</t>
  </si>
  <si>
    <t>minus 4 yards from roll distance</t>
  </si>
  <si>
    <t>minus 2 yards from roll distance</t>
  </si>
  <si>
    <t>no change 0 yards  roll distance</t>
  </si>
  <si>
    <t>plus 2 yards to roll distance</t>
  </si>
  <si>
    <t>plus 6 yards to roll distance</t>
  </si>
  <si>
    <t>plus 10 yards to roll distance</t>
  </si>
  <si>
    <t>plus 14 yards to roll distance</t>
  </si>
  <si>
    <t>plus 18 yards to roll distance</t>
  </si>
  <si>
    <t>Wind Resistance</t>
  </si>
  <si>
    <t>minus 0,1 mph from wind effect to a minimum of 0,1 mph</t>
  </si>
  <si>
    <t>minus 0,2 mph from wind effect to a minimum of 0,1 mph</t>
  </si>
  <si>
    <t xml:space="preserve">plus 0.10 mph to wind effect </t>
  </si>
  <si>
    <t>minus 0,3 mph from wind effect to a minimum of 0,1 mph</t>
  </si>
  <si>
    <t xml:space="preserve">plus 0.09 mph to wind effect </t>
  </si>
  <si>
    <t>minus 0,4 mph from wind effect to a minimum of 0,1 mph</t>
  </si>
  <si>
    <t xml:space="preserve">plus 0.08 mph to wind effect </t>
  </si>
  <si>
    <t>minus 0,5 mph from wind effect to a minimum of 0,1 mph</t>
  </si>
  <si>
    <t xml:space="preserve">plus 0.07 mph to wind effect </t>
  </si>
  <si>
    <t>plus 0,1 mph from wind effect to a minimum of 0,1 mph</t>
  </si>
  <si>
    <t xml:space="preserve">plus 0.06 mph to wind effect </t>
  </si>
  <si>
    <t>plus 0,2 mph from wind effect to a minimum of 0,1 mph</t>
  </si>
  <si>
    <t xml:space="preserve">plus 0.05 mph to wind effect </t>
  </si>
  <si>
    <t>plus 0,3 mph from wind effect to a minimum of 0,1 mph</t>
  </si>
  <si>
    <t xml:space="preserve">plus 0.04 mph to wind effect </t>
  </si>
  <si>
    <t>plus 0,4 mph from wind effect to a minimum of 0,1 mph</t>
  </si>
  <si>
    <t xml:space="preserve">plus 0.03 mph to wind effect </t>
  </si>
  <si>
    <t>plus 0,5 mph from wind effect to a minimum of 0,1 mph</t>
  </si>
  <si>
    <t xml:space="preserve">plus 0.02 mph to wind effect </t>
  </si>
  <si>
    <t xml:space="preserve">plus 0.01 mph to wind effect </t>
  </si>
  <si>
    <t>no change to wind effect</t>
  </si>
  <si>
    <t>minus 0.01 mph from wind effect to a minimum of 0.1 mph</t>
  </si>
  <si>
    <t>minus 0.02 mph from wind effect to a minimum of 0.1 mph</t>
  </si>
  <si>
    <t>minus 0.03 mph from wind effect to a minimum of 0.1 mph</t>
  </si>
  <si>
    <t>minus 0.04 mph from wind effect to a minimum of 0.1 mph</t>
  </si>
  <si>
    <t>minus 0.05 mph from wind effect to a minimum of 0.1 mph</t>
  </si>
  <si>
    <t>minus 0.06 mph from wind effect to a minimum of 0.1 mph</t>
  </si>
  <si>
    <t>minus 0.07 mph from wind effect to a minimum of 0.1 mph</t>
  </si>
  <si>
    <t>minus 0.08 mph from wind effect to a minimum of 0.1 mph</t>
  </si>
  <si>
    <t>minus 0.09 mph from wind effect to a minimum of 0.1 mph</t>
  </si>
  <si>
    <t>minus 0.10 mph from wind effect to a minimum of 0.1 mph</t>
  </si>
  <si>
    <t>On 10 you can choose any point on the ball</t>
  </si>
  <si>
    <t>Final Shot distance = (Base distance of club based on rarity + (club power parameter/2) + base Str of character based on rarity +</t>
  </si>
  <si>
    <r>
      <rPr>
        <rFont val="Arial"/>
        <color theme="1"/>
      </rPr>
      <t>(chara STR parameter/2) + (5% of spin parameter value*spin input)+</t>
    </r>
    <r>
      <rPr>
        <rFont val="Arial"/>
        <b/>
        <color theme="1"/>
      </rPr>
      <t>ball power parameter</t>
    </r>
    <r>
      <rPr>
        <rFont val="Arial"/>
        <color theme="1"/>
      </rPr>
      <t xml:space="preserve"> (if any) + randomizer (number from 1 to 15))*penalty from green ring</t>
    </r>
  </si>
  <si>
    <t>plus 5 yards to shot distance</t>
  </si>
  <si>
    <t>plus 4 yards to shot distance</t>
  </si>
  <si>
    <t>minus 5.0 yards from shot distance</t>
  </si>
  <si>
    <t>plus 3 yards to shot distance</t>
  </si>
  <si>
    <t>minus 4.5 yards from shot distance</t>
  </si>
  <si>
    <t>plus 2 yards to shot distance</t>
  </si>
  <si>
    <t>minus 4.0 yards from shot distance</t>
  </si>
  <si>
    <t>plus 1 yards to shot distance</t>
  </si>
  <si>
    <t>minus 3.5 yards from shot distance</t>
  </si>
  <si>
    <t>minus 1 yards from shot distance</t>
  </si>
  <si>
    <t>minus 3.0 yards from shot distance</t>
  </si>
  <si>
    <t>minus 2 yards from shot distance</t>
  </si>
  <si>
    <t>minus 2.5 yards from shot distance</t>
  </si>
  <si>
    <t>minus 3 yards from shot distance</t>
  </si>
  <si>
    <t>minus 2.0 yards from shot distance</t>
  </si>
  <si>
    <t>minus 4 yards from shot distance</t>
  </si>
  <si>
    <t>minus 1.5 yards from shot distance</t>
  </si>
  <si>
    <t>minus 5 yards from shot distance</t>
  </si>
  <si>
    <t>minus 1.0 yards from shot distance</t>
  </si>
  <si>
    <t>minus 0.5 yards from shot distance</t>
  </si>
  <si>
    <t>no change to shot distance</t>
  </si>
  <si>
    <t>plus 0.5 yards to shot distance</t>
  </si>
  <si>
    <t>plus 1.0 yards to shot distance</t>
  </si>
  <si>
    <t>plus 1.5 yards to shot distance</t>
  </si>
  <si>
    <t>plus 2.0 yards to shot distance</t>
  </si>
  <si>
    <t>plus 2.5 yards to shot distance</t>
  </si>
  <si>
    <t>plus 3.0 yards to shot distance</t>
  </si>
  <si>
    <t>plus 3.5 yards to shot distance</t>
  </si>
  <si>
    <t>plus 4.0 yards to shot distance</t>
  </si>
  <si>
    <t>plus 4.5 yards to shot distance</t>
  </si>
  <si>
    <t>plus 5.0 yards to shot distance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</si>
</sst>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b/>
      <sz val="14.0"/>
      <color theme="1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FFFFFF"/>
      <name val="Arial"/>
      <scheme val="minor"/>
    </font>
    <font>
      <color theme="1"/>
      <name val="Arial"/>
    </font>
    <font>
      <b/>
      <color theme="1"/>
      <name val="Arial"/>
    </font>
    <font>
      <color rgb="FFFFFFFF"/>
      <name val="Arial"/>
    </font>
    <font>
      <b/>
      <sz val="14.0"/>
      <color theme="1"/>
      <name val="Arial"/>
    </font>
    <font>
      <b/>
      <sz val="17.0"/>
      <color theme="1"/>
      <name val="Arial"/>
      <scheme val="minor"/>
    </font>
    <font>
      <b/>
      <sz val="24.0"/>
      <color rgb="FF272727"/>
      <name val="&quot;Times New Roman&quot;"/>
    </font>
    <font/>
    <font>
      <color rgb="FF000000"/>
      <name val="Arial"/>
    </font>
    <font>
      <sz val="12.0"/>
      <color rgb="FF000000"/>
      <name val="Calibri"/>
    </font>
  </fonts>
  <fills count="27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B7B7B7"/>
        <bgColor rgb="FFB7B7B7"/>
      </patternFill>
    </fill>
    <fill>
      <patternFill patternType="solid">
        <fgColor rgb="FFCCCCCC"/>
        <bgColor rgb="FFCCCCCC"/>
      </patternFill>
    </fill>
    <fill>
      <patternFill patternType="solid">
        <fgColor rgb="FF999999"/>
        <bgColor rgb="FF999999"/>
      </patternFill>
    </fill>
    <fill>
      <patternFill patternType="solid">
        <fgColor rgb="FFD9D9D9"/>
        <bgColor rgb="FFD9D9D9"/>
      </patternFill>
    </fill>
    <fill>
      <patternFill patternType="solid">
        <fgColor rgb="FF000000"/>
        <bgColor rgb="FF000000"/>
      </patternFill>
    </fill>
    <fill>
      <patternFill patternType="solid">
        <fgColor rgb="FF93C47D"/>
        <bgColor rgb="FF93C47D"/>
      </patternFill>
    </fill>
    <fill>
      <patternFill patternType="solid">
        <fgColor rgb="FFFF0000"/>
        <bgColor rgb="FFFF0000"/>
      </patternFill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  <fill>
      <patternFill patternType="solid">
        <fgColor rgb="FF666666"/>
        <bgColor rgb="FF666666"/>
      </patternFill>
    </fill>
    <fill>
      <patternFill patternType="solid">
        <fgColor rgb="FF4A86E8"/>
        <bgColor rgb="FF4A86E8"/>
      </patternFill>
    </fill>
    <fill>
      <patternFill patternType="solid">
        <fgColor rgb="FF00FF00"/>
        <bgColor rgb="FF00FF00"/>
      </patternFill>
    </fill>
    <fill>
      <patternFill patternType="solid">
        <fgColor rgb="FF9900FF"/>
        <bgColor rgb="FF9900FF"/>
      </patternFill>
    </fill>
    <fill>
      <patternFill patternType="solid">
        <fgColor rgb="FFCFE2F3"/>
        <bgColor rgb="FFCFE2F3"/>
      </patternFill>
    </fill>
    <fill>
      <patternFill patternType="solid">
        <fgColor rgb="FFEAD1DC"/>
        <bgColor rgb="FFEAD1DC"/>
      </patternFill>
    </fill>
    <fill>
      <patternFill patternType="solid">
        <fgColor rgb="FFD0E0E3"/>
        <bgColor rgb="FFD0E0E3"/>
      </patternFill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  <fill>
      <patternFill patternType="solid">
        <fgColor rgb="FFF1C232"/>
        <bgColor rgb="FFF1C232"/>
      </patternFill>
    </fill>
    <fill>
      <patternFill patternType="solid">
        <fgColor rgb="FFFFE599"/>
        <bgColor rgb="FFFFE599"/>
      </patternFill>
    </fill>
  </fills>
  <borders count="44">
    <border/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ck">
        <color rgb="FFFF0000"/>
      </left>
      <top style="thick">
        <color rgb="FFFF0000"/>
      </top>
    </border>
    <border>
      <top style="thick">
        <color rgb="FFFF0000"/>
      </top>
    </border>
    <border>
      <right style="thick">
        <color rgb="FFFF0000"/>
      </right>
      <top style="thick">
        <color rgb="FFFF0000"/>
      </top>
    </border>
    <border>
      <left style="thick">
        <color rgb="FFFF0000"/>
      </left>
    </border>
    <border>
      <right style="thick">
        <color rgb="FFFF0000"/>
      </right>
    </border>
    <border>
      <left style="thick">
        <color rgb="FFFF0000"/>
      </left>
      <bottom style="thick">
        <color rgb="FFFF0000"/>
      </bottom>
    </border>
    <border>
      <bottom style="thick">
        <color rgb="FFFF0000"/>
      </bottom>
    </border>
    <border>
      <right style="thick">
        <color rgb="FFFF0000"/>
      </right>
      <bottom style="thick">
        <color rgb="FFFF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ck">
        <color rgb="FFFF0000"/>
      </left>
      <top style="thick">
        <color rgb="FFFF0000"/>
      </top>
      <bottom style="thick">
        <color rgb="FFFF0000"/>
      </bottom>
    </border>
    <border>
      <top style="thick">
        <color rgb="FFFF0000"/>
      </top>
      <bottom style="thick">
        <color rgb="FFFF0000"/>
      </bottom>
    </border>
    <border>
      <right style="thick">
        <color rgb="FFFF0000"/>
      </right>
      <top style="thick">
        <color rgb="FFFF0000"/>
      </top>
      <bottom style="thick">
        <color rgb="FFFF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24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0" xfId="0" applyFont="1"/>
    <xf borderId="0" fillId="2" fontId="3" numFmtId="0" xfId="0" applyAlignment="1" applyFill="1" applyFont="1">
      <alignment readingOrder="0"/>
    </xf>
    <xf borderId="0" fillId="2" fontId="3" numFmtId="0" xfId="0" applyFont="1"/>
    <xf borderId="0" fillId="3" fontId="3" numFmtId="0" xfId="0" applyFill="1" applyFont="1"/>
    <xf borderId="0" fillId="3" fontId="3" numFmtId="0" xfId="0" applyAlignment="1" applyFont="1">
      <alignment readingOrder="0"/>
    </xf>
    <xf borderId="0" fillId="4" fontId="3" numFmtId="0" xfId="0" applyFill="1" applyFont="1"/>
    <xf borderId="1" fillId="4" fontId="3" numFmtId="0" xfId="0" applyBorder="1" applyFont="1"/>
    <xf borderId="2" fillId="4" fontId="3" numFmtId="0" xfId="0" applyBorder="1" applyFont="1"/>
    <xf borderId="2" fillId="5" fontId="3" numFmtId="0" xfId="0" applyAlignment="1" applyBorder="1" applyFill="1" applyFont="1">
      <alignment readingOrder="0"/>
    </xf>
    <xf borderId="2" fillId="5" fontId="3" numFmtId="0" xfId="0" applyBorder="1" applyFont="1"/>
    <xf borderId="2" fillId="6" fontId="3" numFmtId="0" xfId="0" applyAlignment="1" applyBorder="1" applyFill="1" applyFont="1">
      <alignment readingOrder="0"/>
    </xf>
    <xf borderId="2" fillId="2" fontId="3" numFmtId="0" xfId="0" applyAlignment="1" applyBorder="1" applyFont="1">
      <alignment readingOrder="0"/>
    </xf>
    <xf borderId="2" fillId="6" fontId="3" numFmtId="0" xfId="0" applyBorder="1" applyFont="1"/>
    <xf borderId="3" fillId="6" fontId="3" numFmtId="0" xfId="0" applyBorder="1" applyFont="1"/>
    <xf borderId="4" fillId="6" fontId="3" numFmtId="0" xfId="0" applyBorder="1" applyFont="1"/>
    <xf borderId="5" fillId="4" fontId="3" numFmtId="0" xfId="0" applyBorder="1" applyFont="1"/>
    <xf borderId="6" fillId="4" fontId="3" numFmtId="0" xfId="0" applyBorder="1" applyFont="1"/>
    <xf borderId="6" fillId="5" fontId="3" numFmtId="0" xfId="0" applyAlignment="1" applyBorder="1" applyFont="1">
      <alignment readingOrder="0"/>
    </xf>
    <xf borderId="6" fillId="5" fontId="3" numFmtId="0" xfId="0" applyBorder="1" applyFont="1"/>
    <xf borderId="6" fillId="6" fontId="3" numFmtId="0" xfId="0" applyAlignment="1" applyBorder="1" applyFont="1">
      <alignment readingOrder="0"/>
    </xf>
    <xf borderId="6" fillId="2" fontId="3" numFmtId="0" xfId="0" applyAlignment="1" applyBorder="1" applyFont="1">
      <alignment readingOrder="0"/>
    </xf>
    <xf borderId="6" fillId="6" fontId="3" numFmtId="0" xfId="0" applyBorder="1" applyFont="1"/>
    <xf borderId="7" fillId="6" fontId="3" numFmtId="0" xfId="0" applyBorder="1" applyFont="1"/>
    <xf borderId="7" fillId="6" fontId="3" numFmtId="0" xfId="0" applyAlignment="1" applyBorder="1" applyFont="1">
      <alignment readingOrder="0"/>
    </xf>
    <xf borderId="8" fillId="6" fontId="3" numFmtId="0" xfId="0" applyBorder="1" applyFont="1"/>
    <xf borderId="6" fillId="2" fontId="2" numFmtId="0" xfId="0" applyAlignment="1" applyBorder="1" applyFont="1">
      <alignment readingOrder="0"/>
    </xf>
    <xf borderId="6" fillId="7" fontId="3" numFmtId="0" xfId="0" applyAlignment="1" applyBorder="1" applyFill="1" applyFont="1">
      <alignment readingOrder="0"/>
    </xf>
    <xf borderId="8" fillId="6" fontId="3" numFmtId="0" xfId="0" applyAlignment="1" applyBorder="1" applyFont="1">
      <alignment readingOrder="0"/>
    </xf>
    <xf borderId="5" fillId="8" fontId="4" numFmtId="0" xfId="0" applyAlignment="1" applyBorder="1" applyFill="1" applyFont="1">
      <alignment readingOrder="0"/>
    </xf>
    <xf borderId="6" fillId="8" fontId="4" numFmtId="0" xfId="0" applyBorder="1" applyFont="1"/>
    <xf borderId="6" fillId="9" fontId="3" numFmtId="0" xfId="0" applyAlignment="1" applyBorder="1" applyFill="1" applyFont="1">
      <alignment readingOrder="0"/>
    </xf>
    <xf borderId="6" fillId="10" fontId="2" numFmtId="0" xfId="0" applyAlignment="1" applyBorder="1" applyFill="1" applyFont="1">
      <alignment readingOrder="0"/>
    </xf>
    <xf borderId="6" fillId="11" fontId="2" numFmtId="0" xfId="0" applyAlignment="1" applyBorder="1" applyFill="1" applyFont="1">
      <alignment readingOrder="0"/>
    </xf>
    <xf borderId="7" fillId="11" fontId="2" numFmtId="0" xfId="0" applyAlignment="1" applyBorder="1" applyFont="1">
      <alignment readingOrder="0"/>
    </xf>
    <xf borderId="8" fillId="11" fontId="2" numFmtId="0" xfId="0" applyAlignment="1" applyBorder="1" applyFont="1">
      <alignment readingOrder="0"/>
    </xf>
    <xf borderId="5" fillId="12" fontId="1" numFmtId="0" xfId="0" applyAlignment="1" applyBorder="1" applyFill="1" applyFont="1">
      <alignment readingOrder="0"/>
    </xf>
    <xf borderId="6" fillId="13" fontId="3" numFmtId="0" xfId="0" applyAlignment="1" applyBorder="1" applyFill="1" applyFont="1">
      <alignment readingOrder="0"/>
    </xf>
    <xf borderId="6" fillId="12" fontId="3" numFmtId="0" xfId="0" applyBorder="1" applyFont="1"/>
    <xf borderId="6" fillId="2" fontId="5" numFmtId="0" xfId="0" applyAlignment="1" applyBorder="1" applyFont="1">
      <alignment readingOrder="0" vertical="bottom"/>
    </xf>
    <xf borderId="6" fillId="10" fontId="3" numFmtId="0" xfId="0" applyBorder="1" applyFont="1"/>
    <xf borderId="6" fillId="14" fontId="3" numFmtId="0" xfId="0" applyBorder="1" applyFill="1" applyFont="1"/>
    <xf borderId="7" fillId="14" fontId="3" numFmtId="0" xfId="0" applyBorder="1" applyFont="1"/>
    <xf borderId="8" fillId="14" fontId="3" numFmtId="0" xfId="0" applyBorder="1" applyFont="1"/>
    <xf borderId="5" fillId="12" fontId="3" numFmtId="0" xfId="0" applyBorder="1" applyFont="1"/>
    <xf borderId="6" fillId="5" fontId="3" numFmtId="0" xfId="0" applyAlignment="1" applyBorder="1" applyFont="1">
      <alignment horizontal="right" readingOrder="0"/>
    </xf>
    <xf borderId="6" fillId="15" fontId="5" numFmtId="0" xfId="0" applyAlignment="1" applyBorder="1" applyFill="1" applyFont="1">
      <alignment vertical="bottom"/>
    </xf>
    <xf borderId="6" fillId="7" fontId="3" numFmtId="0" xfId="0" applyBorder="1" applyFont="1"/>
    <xf borderId="9" fillId="12" fontId="3" numFmtId="0" xfId="0" applyBorder="1" applyFont="1"/>
    <xf borderId="10" fillId="13" fontId="3" numFmtId="0" xfId="0" applyAlignment="1" applyBorder="1" applyFont="1">
      <alignment readingOrder="0"/>
    </xf>
    <xf borderId="10" fillId="5" fontId="3" numFmtId="0" xfId="0" applyAlignment="1" applyBorder="1" applyFont="1">
      <alignment readingOrder="0"/>
    </xf>
    <xf borderId="10" fillId="12" fontId="3" numFmtId="0" xfId="0" applyBorder="1" applyFont="1"/>
    <xf borderId="10" fillId="7" fontId="3" numFmtId="0" xfId="0" applyBorder="1" applyFont="1"/>
    <xf borderId="10" fillId="6" fontId="3" numFmtId="0" xfId="0" applyAlignment="1" applyBorder="1" applyFont="1">
      <alignment readingOrder="0"/>
    </xf>
    <xf borderId="11" fillId="6" fontId="3" numFmtId="0" xfId="0" applyAlignment="1" applyBorder="1" applyFont="1">
      <alignment readingOrder="0"/>
    </xf>
    <xf borderId="12" fillId="6" fontId="3" numFmtId="0" xfId="0" applyAlignment="1" applyBorder="1" applyFont="1">
      <alignment readingOrder="0"/>
    </xf>
    <xf borderId="6" fillId="5" fontId="5" numFmtId="0" xfId="0" applyAlignment="1" applyBorder="1" applyFont="1">
      <alignment readingOrder="0" vertical="bottom"/>
    </xf>
    <xf borderId="10" fillId="5" fontId="5" numFmtId="0" xfId="0" applyAlignment="1" applyBorder="1" applyFont="1">
      <alignment readingOrder="0" vertical="bottom"/>
    </xf>
    <xf borderId="10" fillId="2" fontId="5" numFmtId="0" xfId="0" applyAlignment="1" applyBorder="1" applyFont="1">
      <alignment vertical="bottom"/>
    </xf>
    <xf borderId="6" fillId="14" fontId="5" numFmtId="0" xfId="0" applyAlignment="1" applyBorder="1" applyFont="1">
      <alignment horizontal="right" vertical="bottom"/>
    </xf>
    <xf borderId="6" fillId="7" fontId="5" numFmtId="0" xfId="0" applyAlignment="1" applyBorder="1" applyFont="1">
      <alignment horizontal="right" vertical="bottom"/>
    </xf>
    <xf borderId="1" fillId="4" fontId="5" numFmtId="0" xfId="0" applyAlignment="1" applyBorder="1" applyFont="1">
      <alignment vertical="bottom"/>
    </xf>
    <xf borderId="2" fillId="4" fontId="5" numFmtId="0" xfId="0" applyAlignment="1" applyBorder="1" applyFont="1">
      <alignment vertical="bottom"/>
    </xf>
    <xf borderId="2" fillId="4" fontId="5" numFmtId="0" xfId="0" applyAlignment="1" applyBorder="1" applyFont="1">
      <alignment vertical="bottom"/>
    </xf>
    <xf borderId="2" fillId="5" fontId="5" numFmtId="0" xfId="0" applyAlignment="1" applyBorder="1" applyFont="1">
      <alignment vertical="bottom"/>
    </xf>
    <xf borderId="2" fillId="6" fontId="5" numFmtId="0" xfId="0" applyAlignment="1" applyBorder="1" applyFont="1">
      <alignment vertical="bottom"/>
    </xf>
    <xf borderId="2" fillId="6" fontId="5" numFmtId="0" xfId="0" applyAlignment="1" applyBorder="1" applyFont="1">
      <alignment horizontal="right" vertical="bottom"/>
    </xf>
    <xf borderId="2" fillId="2" fontId="5" numFmtId="0" xfId="0" applyAlignment="1" applyBorder="1" applyFont="1">
      <alignment horizontal="right" vertical="bottom"/>
    </xf>
    <xf borderId="5" fillId="4" fontId="5" numFmtId="0" xfId="0" applyAlignment="1" applyBorder="1" applyFont="1">
      <alignment vertical="bottom"/>
    </xf>
    <xf borderId="6" fillId="4" fontId="5" numFmtId="0" xfId="0" applyAlignment="1" applyBorder="1" applyFont="1">
      <alignment vertical="bottom"/>
    </xf>
    <xf borderId="6" fillId="4" fontId="5" numFmtId="0" xfId="0" applyAlignment="1" applyBorder="1" applyFont="1">
      <alignment vertical="bottom"/>
    </xf>
    <xf borderId="6" fillId="5" fontId="5" numFmtId="0" xfId="0" applyAlignment="1" applyBorder="1" applyFont="1">
      <alignment vertical="bottom"/>
    </xf>
    <xf borderId="6" fillId="6" fontId="5" numFmtId="0" xfId="0" applyAlignment="1" applyBorder="1" applyFont="1">
      <alignment vertical="bottom"/>
    </xf>
    <xf borderId="6" fillId="2" fontId="5" numFmtId="0" xfId="0" applyAlignment="1" applyBorder="1" applyFont="1">
      <alignment vertical="bottom"/>
    </xf>
    <xf borderId="6" fillId="2" fontId="6" numFmtId="0" xfId="0" applyAlignment="1" applyBorder="1" applyFont="1">
      <alignment vertical="bottom"/>
    </xf>
    <xf borderId="6" fillId="6" fontId="5" numFmtId="0" xfId="0" applyAlignment="1" applyBorder="1" applyFont="1">
      <alignment horizontal="right" vertical="bottom"/>
    </xf>
    <xf borderId="5" fillId="8" fontId="7" numFmtId="0" xfId="0" applyAlignment="1" applyBorder="1" applyFont="1">
      <alignment readingOrder="0" vertical="bottom"/>
    </xf>
    <xf borderId="6" fillId="8" fontId="5" numFmtId="0" xfId="0" applyAlignment="1" applyBorder="1" applyFont="1">
      <alignment vertical="bottom"/>
    </xf>
    <xf borderId="6" fillId="5" fontId="5" numFmtId="0" xfId="0" applyAlignment="1" applyBorder="1" applyFont="1">
      <alignment vertical="bottom"/>
    </xf>
    <xf borderId="6" fillId="9" fontId="5" numFmtId="0" xfId="0" applyAlignment="1" applyBorder="1" applyFont="1">
      <alignment vertical="bottom"/>
    </xf>
    <xf borderId="6" fillId="11" fontId="6" numFmtId="0" xfId="0" applyAlignment="1" applyBorder="1" applyFont="1">
      <alignment vertical="bottom"/>
    </xf>
    <xf borderId="6" fillId="7" fontId="5" numFmtId="0" xfId="0" applyAlignment="1" applyBorder="1" applyFont="1">
      <alignment vertical="bottom"/>
    </xf>
    <xf borderId="5" fillId="12" fontId="8" numFmtId="0" xfId="0" applyAlignment="1" applyBorder="1" applyFont="1">
      <alignment readingOrder="0" vertical="bottom"/>
    </xf>
    <xf borderId="6" fillId="13" fontId="5" numFmtId="0" xfId="0" applyAlignment="1" applyBorder="1" applyFont="1">
      <alignment vertical="bottom"/>
    </xf>
    <xf borderId="6" fillId="12" fontId="5" numFmtId="0" xfId="0" applyAlignment="1" applyBorder="1" applyFont="1">
      <alignment horizontal="right" vertical="bottom"/>
    </xf>
    <xf borderId="6" fillId="7" fontId="5" numFmtId="0" xfId="0" applyAlignment="1" applyBorder="1" applyFont="1">
      <alignment horizontal="right" vertical="bottom"/>
    </xf>
    <xf borderId="5" fillId="12" fontId="5" numFmtId="0" xfId="0" applyAlignment="1" applyBorder="1" applyFont="1">
      <alignment vertical="bottom"/>
    </xf>
    <xf borderId="9" fillId="12" fontId="5" numFmtId="0" xfId="0" applyAlignment="1" applyBorder="1" applyFont="1">
      <alignment vertical="bottom"/>
    </xf>
    <xf borderId="10" fillId="13" fontId="5" numFmtId="0" xfId="0" applyAlignment="1" applyBorder="1" applyFont="1">
      <alignment vertical="bottom"/>
    </xf>
    <xf borderId="10" fillId="12" fontId="5" numFmtId="0" xfId="0" applyAlignment="1" applyBorder="1" applyFont="1">
      <alignment horizontal="right" vertical="bottom"/>
    </xf>
    <xf borderId="10" fillId="6" fontId="5" numFmtId="0" xfId="0" applyAlignment="1" applyBorder="1" applyFont="1">
      <alignment vertical="bottom"/>
    </xf>
    <xf borderId="6" fillId="2" fontId="6" numFmtId="0" xfId="0" applyAlignment="1" applyBorder="1" applyFont="1">
      <alignment vertical="bottom"/>
    </xf>
    <xf borderId="9" fillId="12" fontId="5" numFmtId="0" xfId="0" applyAlignment="1" applyBorder="1" applyFont="1">
      <alignment vertical="bottom"/>
    </xf>
    <xf borderId="2" fillId="5" fontId="5" numFmtId="0" xfId="0" applyAlignment="1" applyBorder="1" applyFont="1">
      <alignment vertical="bottom"/>
    </xf>
    <xf borderId="6" fillId="14" fontId="5" numFmtId="0" xfId="0" applyAlignment="1" applyBorder="1" applyFont="1">
      <alignment horizontal="right" vertical="bottom"/>
    </xf>
    <xf borderId="2" fillId="2" fontId="5" numFmtId="0" xfId="0" applyAlignment="1" applyBorder="1" applyFont="1">
      <alignment horizontal="right" readingOrder="0" vertical="bottom"/>
    </xf>
    <xf borderId="6" fillId="14" fontId="5" numFmtId="0" xfId="0" applyAlignment="1" applyBorder="1" applyFont="1">
      <alignment horizontal="right" readingOrder="0" vertical="bottom"/>
    </xf>
    <xf borderId="7" fillId="6" fontId="5" numFmtId="0" xfId="0" applyAlignment="1" applyBorder="1" applyFont="1">
      <alignment vertical="bottom"/>
    </xf>
    <xf borderId="8" fillId="6" fontId="5" numFmtId="0" xfId="0" applyAlignment="1" applyBorder="1" applyFont="1">
      <alignment vertical="bottom"/>
    </xf>
    <xf borderId="11" fillId="6" fontId="5" numFmtId="0" xfId="0" applyAlignment="1" applyBorder="1" applyFont="1">
      <alignment vertical="bottom"/>
    </xf>
    <xf borderId="12" fillId="6" fontId="5" numFmtId="0" xfId="0" applyAlignment="1" applyBorder="1" applyFont="1">
      <alignment vertical="bottom"/>
    </xf>
    <xf borderId="0" fillId="16" fontId="3" numFmtId="0" xfId="0" applyFill="1" applyFont="1"/>
    <xf borderId="2" fillId="2" fontId="5" numFmtId="0" xfId="0" applyAlignment="1" applyBorder="1" applyFont="1">
      <alignment horizontal="right" vertical="bottom"/>
    </xf>
    <xf borderId="6" fillId="6" fontId="5" numFmtId="0" xfId="0" applyAlignment="1" applyBorder="1" applyFont="1">
      <alignment horizontal="right" vertical="bottom"/>
    </xf>
    <xf borderId="6" fillId="11" fontId="6" numFmtId="0" xfId="0" applyAlignment="1" applyBorder="1" applyFont="1">
      <alignment vertical="bottom"/>
    </xf>
    <xf borderId="6" fillId="6" fontId="5" numFmtId="0" xfId="0" applyAlignment="1" applyBorder="1" applyFont="1">
      <alignment vertical="bottom"/>
    </xf>
    <xf borderId="10" fillId="2" fontId="5" numFmtId="0" xfId="0" applyAlignment="1" applyBorder="1" applyFont="1">
      <alignment readingOrder="0" vertical="bottom"/>
    </xf>
    <xf borderId="10" fillId="6" fontId="5" numFmtId="0" xfId="0" applyAlignment="1" applyBorder="1" applyFont="1">
      <alignment vertical="bottom"/>
    </xf>
    <xf borderId="6" fillId="14" fontId="5" numFmtId="0" xfId="0" applyAlignment="1" applyBorder="1" applyFont="1">
      <alignment horizontal="center" vertical="bottom"/>
    </xf>
    <xf borderId="0" fillId="17" fontId="3" numFmtId="0" xfId="0" applyFill="1" applyFont="1"/>
    <xf borderId="0" fillId="18" fontId="3" numFmtId="0" xfId="0" applyFill="1" applyFont="1"/>
    <xf borderId="3" fillId="6" fontId="5" numFmtId="0" xfId="0" applyAlignment="1" applyBorder="1" applyFont="1">
      <alignment vertical="bottom"/>
    </xf>
    <xf borderId="4" fillId="6" fontId="5" numFmtId="0" xfId="0" applyAlignment="1" applyBorder="1" applyFont="1">
      <alignment vertical="bottom"/>
    </xf>
    <xf borderId="7" fillId="11" fontId="6" numFmtId="0" xfId="0" applyAlignment="1" applyBorder="1" applyFont="1">
      <alignment vertical="bottom"/>
    </xf>
    <xf borderId="8" fillId="11" fontId="6" numFmtId="0" xfId="0" applyAlignment="1" applyBorder="1" applyFont="1">
      <alignment vertical="bottom"/>
    </xf>
    <xf borderId="7" fillId="14" fontId="5" numFmtId="0" xfId="0" applyAlignment="1" applyBorder="1" applyFont="1">
      <alignment vertical="bottom"/>
    </xf>
    <xf borderId="8" fillId="14" fontId="5" numFmtId="0" xfId="0" applyAlignment="1" applyBorder="1" applyFont="1">
      <alignment vertical="bottom"/>
    </xf>
    <xf borderId="13" fillId="2" fontId="2" numFmtId="0" xfId="0" applyAlignment="1" applyBorder="1" applyFont="1">
      <alignment readingOrder="0"/>
    </xf>
    <xf borderId="14" fillId="2" fontId="3" numFmtId="0" xfId="0" applyBorder="1" applyFont="1"/>
    <xf borderId="15" fillId="2" fontId="3" numFmtId="0" xfId="0" applyBorder="1" applyFont="1"/>
    <xf borderId="16" fillId="2" fontId="3" numFmtId="0" xfId="0" applyAlignment="1" applyBorder="1" applyFont="1">
      <alignment readingOrder="0"/>
    </xf>
    <xf borderId="17" fillId="2" fontId="3" numFmtId="0" xfId="0" applyBorder="1" applyFont="1"/>
    <xf borderId="18" fillId="2" fontId="3" numFmtId="0" xfId="0" applyAlignment="1" applyBorder="1" applyFont="1">
      <alignment readingOrder="0"/>
    </xf>
    <xf borderId="19" fillId="2" fontId="3" numFmtId="0" xfId="0" applyBorder="1" applyFont="1"/>
    <xf borderId="20" fillId="2" fontId="3" numFmtId="0" xfId="0" applyBorder="1" applyFont="1"/>
    <xf borderId="0" fillId="14" fontId="2" numFmtId="0" xfId="0" applyAlignment="1" applyFont="1">
      <alignment readingOrder="0"/>
    </xf>
    <xf borderId="13" fillId="0" fontId="9" numFmtId="0" xfId="0" applyAlignment="1" applyBorder="1" applyFont="1">
      <alignment readingOrder="0"/>
    </xf>
    <xf borderId="14" fillId="0" fontId="3" numFmtId="0" xfId="0" applyBorder="1" applyFont="1"/>
    <xf borderId="15" fillId="0" fontId="3" numFmtId="0" xfId="0" applyBorder="1" applyFont="1"/>
    <xf borderId="16" fillId="19" fontId="3" numFmtId="0" xfId="0" applyBorder="1" applyFill="1" applyFont="1"/>
    <xf borderId="0" fillId="19" fontId="3" numFmtId="0" xfId="0" applyFont="1"/>
    <xf borderId="17" fillId="19" fontId="3" numFmtId="0" xfId="0" applyBorder="1" applyFont="1"/>
    <xf borderId="16" fillId="19" fontId="3" numFmtId="0" xfId="0" applyAlignment="1" applyBorder="1" applyFont="1">
      <alignment readingOrder="0"/>
    </xf>
    <xf borderId="18" fillId="19" fontId="3" numFmtId="0" xfId="0" applyAlignment="1" applyBorder="1" applyFont="1">
      <alignment readingOrder="0"/>
    </xf>
    <xf borderId="19" fillId="19" fontId="3" numFmtId="0" xfId="0" applyBorder="1" applyFont="1"/>
    <xf borderId="20" fillId="19" fontId="3" numFmtId="0" xfId="0" applyBorder="1" applyFont="1"/>
    <xf borderId="0" fillId="14" fontId="3" numFmtId="0" xfId="0" applyFont="1"/>
    <xf borderId="0" fillId="14" fontId="3" numFmtId="0" xfId="0" applyAlignment="1" applyFont="1">
      <alignment readingOrder="0"/>
    </xf>
    <xf borderId="16" fillId="12" fontId="3" numFmtId="0" xfId="0" applyAlignment="1" applyBorder="1" applyFont="1">
      <alignment readingOrder="0"/>
    </xf>
    <xf borderId="0" fillId="12" fontId="3" numFmtId="0" xfId="0" applyFont="1"/>
    <xf borderId="17" fillId="12" fontId="3" numFmtId="0" xfId="0" applyBorder="1" applyFont="1"/>
    <xf borderId="18" fillId="12" fontId="3" numFmtId="0" xfId="0" applyAlignment="1" applyBorder="1" applyFont="1">
      <alignment readingOrder="0"/>
    </xf>
    <xf borderId="19" fillId="12" fontId="3" numFmtId="0" xfId="0" applyBorder="1" applyFont="1"/>
    <xf borderId="20" fillId="12" fontId="3" numFmtId="0" xfId="0" applyBorder="1" applyFont="1"/>
    <xf borderId="0" fillId="0" fontId="3" numFmtId="0" xfId="0" applyAlignment="1" applyFont="1">
      <alignment horizontal="center" readingOrder="0"/>
    </xf>
    <xf borderId="16" fillId="20" fontId="3" numFmtId="0" xfId="0" applyAlignment="1" applyBorder="1" applyFill="1" applyFont="1">
      <alignment readingOrder="0"/>
    </xf>
    <xf borderId="0" fillId="20" fontId="3" numFmtId="0" xfId="0" applyFont="1"/>
    <xf borderId="17" fillId="20" fontId="3" numFmtId="0" xfId="0" applyBorder="1" applyFont="1"/>
    <xf borderId="0" fillId="0" fontId="5" numFmtId="0" xfId="0" applyAlignment="1" applyFont="1">
      <alignment horizontal="center" vertical="bottom"/>
    </xf>
    <xf borderId="16" fillId="20" fontId="3" numFmtId="0" xfId="0" applyBorder="1" applyFont="1"/>
    <xf borderId="16" fillId="20" fontId="2" numFmtId="0" xfId="0" applyAlignment="1" applyBorder="1" applyFont="1">
      <alignment readingOrder="0"/>
    </xf>
    <xf borderId="0" fillId="20" fontId="2" numFmtId="0" xfId="0" applyAlignment="1" applyFont="1">
      <alignment readingOrder="0"/>
    </xf>
    <xf borderId="0" fillId="20" fontId="2" numFmtId="0" xfId="0" applyFont="1"/>
    <xf borderId="21" fillId="13" fontId="3" numFmtId="0" xfId="0" applyAlignment="1" applyBorder="1" applyFont="1">
      <alignment readingOrder="0"/>
    </xf>
    <xf borderId="22" fillId="13" fontId="3" numFmtId="0" xfId="0" applyAlignment="1" applyBorder="1" applyFont="1">
      <alignment readingOrder="0"/>
    </xf>
    <xf borderId="23" fillId="13" fontId="3" numFmtId="0" xfId="0" applyBorder="1" applyFont="1"/>
    <xf borderId="24" fillId="21" fontId="3" numFmtId="0" xfId="0" applyAlignment="1" applyBorder="1" applyFill="1" applyFont="1">
      <alignment readingOrder="0"/>
    </xf>
    <xf borderId="0" fillId="21" fontId="3" numFmtId="0" xfId="0" applyAlignment="1" applyFont="1">
      <alignment readingOrder="0"/>
    </xf>
    <xf borderId="25" fillId="0" fontId="3" numFmtId="0" xfId="0" applyBorder="1" applyFont="1"/>
    <xf borderId="24" fillId="0" fontId="3" numFmtId="0" xfId="0" applyBorder="1" applyFont="1"/>
    <xf borderId="18" fillId="20" fontId="3" numFmtId="0" xfId="0" applyAlignment="1" applyBorder="1" applyFont="1">
      <alignment readingOrder="0"/>
    </xf>
    <xf borderId="19" fillId="20" fontId="3" numFmtId="0" xfId="0" applyBorder="1" applyFont="1"/>
    <xf borderId="20" fillId="20" fontId="3" numFmtId="0" xfId="0" applyBorder="1" applyFont="1"/>
    <xf borderId="24" fillId="20" fontId="3" numFmtId="0" xfId="0" applyAlignment="1" applyBorder="1" applyFont="1">
      <alignment readingOrder="0"/>
    </xf>
    <xf borderId="25" fillId="20" fontId="3" numFmtId="0" xfId="0" applyBorder="1" applyFont="1"/>
    <xf borderId="26" fillId="20" fontId="3" numFmtId="0" xfId="0" applyAlignment="1" applyBorder="1" applyFont="1">
      <alignment readingOrder="0"/>
    </xf>
    <xf borderId="27" fillId="20" fontId="3" numFmtId="0" xfId="0" applyBorder="1" applyFont="1"/>
    <xf borderId="28" fillId="20" fontId="3" numFmtId="0" xfId="0" applyBorder="1" applyFont="1"/>
    <xf borderId="0" fillId="3" fontId="2" numFmtId="0" xfId="0" applyAlignment="1" applyFont="1">
      <alignment readingOrder="0"/>
    </xf>
    <xf borderId="0" fillId="3" fontId="2" numFmtId="0" xfId="0" applyFont="1"/>
    <xf borderId="0" fillId="0" fontId="2" numFmtId="0" xfId="0" applyFont="1"/>
    <xf borderId="0" fillId="12" fontId="3" numFmtId="0" xfId="0" applyAlignment="1" applyFont="1">
      <alignment readingOrder="0"/>
    </xf>
    <xf borderId="0" fillId="12" fontId="3" numFmtId="0" xfId="0" applyAlignment="1" applyFont="1">
      <alignment horizontal="center" readingOrder="0"/>
    </xf>
    <xf borderId="0" fillId="22" fontId="3" numFmtId="0" xfId="0" applyAlignment="1" applyFill="1" applyFont="1">
      <alignment readingOrder="0"/>
    </xf>
    <xf borderId="0" fillId="22" fontId="3" numFmtId="0" xfId="0" applyFont="1"/>
    <xf borderId="29" fillId="2" fontId="3" numFmtId="0" xfId="0" applyAlignment="1" applyBorder="1" applyFont="1">
      <alignment readingOrder="0"/>
    </xf>
    <xf borderId="30" fillId="2" fontId="3" numFmtId="0" xfId="0" applyBorder="1" applyFont="1"/>
    <xf borderId="31" fillId="2" fontId="3" numFmtId="0" xfId="0" applyBorder="1" applyFont="1"/>
    <xf borderId="16" fillId="13" fontId="3" numFmtId="0" xfId="0" applyAlignment="1" applyBorder="1" applyFont="1">
      <alignment readingOrder="0"/>
    </xf>
    <xf borderId="0" fillId="13" fontId="3" numFmtId="0" xfId="0" applyFont="1"/>
    <xf borderId="17" fillId="13" fontId="3" numFmtId="0" xfId="0" applyBorder="1" applyFont="1"/>
    <xf borderId="16" fillId="13" fontId="3" numFmtId="0" xfId="0" applyBorder="1" applyFont="1"/>
    <xf borderId="0" fillId="13" fontId="2" numFmtId="0" xfId="0" applyAlignment="1" applyFont="1">
      <alignment readingOrder="0"/>
    </xf>
    <xf borderId="16" fillId="13" fontId="2" numFmtId="0" xfId="0" applyAlignment="1" applyBorder="1" applyFont="1">
      <alignment readingOrder="0"/>
    </xf>
    <xf borderId="0" fillId="13" fontId="3" numFmtId="0" xfId="0" applyAlignment="1" applyFont="1">
      <alignment readingOrder="0"/>
    </xf>
    <xf borderId="18" fillId="13" fontId="2" numFmtId="0" xfId="0" applyAlignment="1" applyBorder="1" applyFont="1">
      <alignment readingOrder="0"/>
    </xf>
    <xf borderId="19" fillId="13" fontId="3" numFmtId="0" xfId="0" applyAlignment="1" applyBorder="1" applyFont="1">
      <alignment readingOrder="0"/>
    </xf>
    <xf borderId="19" fillId="13" fontId="3" numFmtId="0" xfId="0" applyBorder="1" applyFont="1"/>
    <xf borderId="20" fillId="13" fontId="3" numFmtId="0" xfId="0" applyBorder="1" applyFont="1"/>
    <xf borderId="0" fillId="23" fontId="10" numFmtId="0" xfId="0" applyAlignment="1" applyFill="1" applyFont="1">
      <alignment horizontal="center" readingOrder="0"/>
    </xf>
    <xf borderId="7" fillId="24" fontId="3" numFmtId="0" xfId="0" applyAlignment="1" applyBorder="1" applyFill="1" applyFont="1">
      <alignment horizontal="center" readingOrder="0"/>
    </xf>
    <xf borderId="32" fillId="0" fontId="11" numFmtId="0" xfId="0" applyBorder="1" applyFont="1"/>
    <xf borderId="6" fillId="24" fontId="3" numFmtId="0" xfId="0" applyAlignment="1" applyBorder="1" applyFont="1">
      <alignment readingOrder="0"/>
    </xf>
    <xf borderId="13" fillId="0" fontId="3" numFmtId="0" xfId="0" applyBorder="1" applyFont="1"/>
    <xf borderId="16" fillId="0" fontId="3" numFmtId="0" xfId="0" applyBorder="1" applyFont="1"/>
    <xf borderId="0" fillId="0" fontId="9" numFmtId="0" xfId="0" applyAlignment="1" applyFont="1">
      <alignment readingOrder="0"/>
    </xf>
    <xf borderId="17" fillId="0" fontId="3" numFmtId="0" xfId="0" applyBorder="1" applyFont="1"/>
    <xf borderId="33" fillId="24" fontId="3" numFmtId="0" xfId="0" applyAlignment="1" applyBorder="1" applyFont="1">
      <alignment horizontal="center" readingOrder="0"/>
    </xf>
    <xf borderId="34" fillId="0" fontId="11" numFmtId="0" xfId="0" applyBorder="1" applyFont="1"/>
    <xf borderId="35" fillId="24" fontId="3" numFmtId="0" xfId="0" applyAlignment="1" applyBorder="1" applyFont="1">
      <alignment readingOrder="0"/>
    </xf>
    <xf borderId="36" fillId="13" fontId="3" numFmtId="0" xfId="0" applyAlignment="1" applyBorder="1" applyFont="1">
      <alignment horizontal="center" readingOrder="0" vertical="center"/>
    </xf>
    <xf borderId="37" fillId="13" fontId="3" numFmtId="0" xfId="0" applyAlignment="1" applyBorder="1" applyFont="1">
      <alignment readingOrder="0"/>
    </xf>
    <xf borderId="37" fillId="0" fontId="3" numFmtId="0" xfId="0" applyAlignment="1" applyBorder="1" applyFont="1">
      <alignment readingOrder="0"/>
    </xf>
    <xf borderId="38" fillId="0" fontId="3" numFmtId="0" xfId="0" applyAlignment="1" applyBorder="1" applyFont="1">
      <alignment readingOrder="0"/>
    </xf>
    <xf borderId="0" fillId="14" fontId="12" numFmtId="0" xfId="0" applyAlignment="1" applyFont="1">
      <alignment horizontal="left" readingOrder="0"/>
    </xf>
    <xf borderId="39" fillId="0" fontId="11" numFmtId="0" xfId="0" applyBorder="1" applyFont="1"/>
    <xf borderId="6" fillId="0" fontId="3" numFmtId="0" xfId="0" applyAlignment="1" applyBorder="1" applyFont="1">
      <alignment readingOrder="0"/>
    </xf>
    <xf borderId="40" fillId="0" fontId="3" numFmtId="0" xfId="0" applyAlignment="1" applyBorder="1" applyFont="1">
      <alignment readingOrder="0"/>
    </xf>
    <xf borderId="6" fillId="12" fontId="3" numFmtId="0" xfId="0" applyAlignment="1" applyBorder="1" applyFont="1">
      <alignment readingOrder="0"/>
    </xf>
    <xf borderId="40" fillId="12" fontId="3" numFmtId="0" xfId="0" applyAlignment="1" applyBorder="1" applyFont="1">
      <alignment readingOrder="0"/>
    </xf>
    <xf borderId="17" fillId="25" fontId="3" numFmtId="0" xfId="0" applyBorder="1" applyFill="1" applyFont="1"/>
    <xf borderId="0" fillId="25" fontId="3" numFmtId="0" xfId="0" applyFont="1"/>
    <xf borderId="0" fillId="25" fontId="2" numFmtId="0" xfId="0" applyAlignment="1" applyFont="1">
      <alignment readingOrder="0"/>
    </xf>
    <xf borderId="17" fillId="23" fontId="3" numFmtId="0" xfId="0" applyBorder="1" applyFont="1"/>
    <xf borderId="0" fillId="23" fontId="3" numFmtId="0" xfId="0" applyFont="1"/>
    <xf borderId="41" fillId="0" fontId="11" numFmtId="0" xfId="0" applyBorder="1" applyFont="1"/>
    <xf borderId="42" fillId="13" fontId="3" numFmtId="0" xfId="0" applyAlignment="1" applyBorder="1" applyFont="1">
      <alignment readingOrder="0"/>
    </xf>
    <xf borderId="42" fillId="0" fontId="3" numFmtId="0" xfId="0" applyAlignment="1" applyBorder="1" applyFont="1">
      <alignment readingOrder="0"/>
    </xf>
    <xf borderId="43" fillId="0" fontId="3" numFmtId="0" xfId="0" applyAlignment="1" applyBorder="1" applyFont="1">
      <alignment readingOrder="0"/>
    </xf>
    <xf borderId="36" fillId="12" fontId="3" numFmtId="0" xfId="0" applyAlignment="1" applyBorder="1" applyFont="1">
      <alignment horizontal="center" readingOrder="0" vertical="center"/>
    </xf>
    <xf borderId="37" fillId="12" fontId="3" numFmtId="0" xfId="0" applyAlignment="1" applyBorder="1" applyFont="1">
      <alignment readingOrder="0"/>
    </xf>
    <xf borderId="42" fillId="12" fontId="3" numFmtId="0" xfId="0" applyAlignment="1" applyBorder="1" applyFont="1">
      <alignment readingOrder="0"/>
    </xf>
    <xf borderId="0" fillId="2" fontId="2" numFmtId="0" xfId="0" applyAlignment="1" applyFont="1">
      <alignment readingOrder="0"/>
    </xf>
    <xf borderId="0" fillId="0" fontId="2" numFmtId="0" xfId="0" applyAlignment="1" applyFont="1">
      <alignment horizontal="center" readingOrder="0" shrinkToFit="0" vertical="center" wrapText="1"/>
    </xf>
    <xf borderId="18" fillId="0" fontId="3" numFmtId="0" xfId="0" applyBorder="1" applyFont="1"/>
    <xf borderId="19" fillId="0" fontId="3" numFmtId="0" xfId="0" applyBorder="1" applyFont="1"/>
    <xf borderId="20" fillId="0" fontId="3" numFmtId="0" xfId="0" applyBorder="1" applyFont="1"/>
    <xf borderId="0" fillId="5" fontId="3" numFmtId="0" xfId="0" applyAlignment="1" applyFont="1">
      <alignment readingOrder="0"/>
    </xf>
    <xf borderId="0" fillId="26" fontId="3" numFmtId="0" xfId="0" applyAlignment="1" applyFill="1" applyFont="1">
      <alignment readingOrder="0"/>
    </xf>
    <xf borderId="0" fillId="5" fontId="3" numFmtId="0" xfId="0" applyFont="1"/>
    <xf borderId="0" fillId="23" fontId="12" numFmtId="0" xfId="0" applyAlignment="1" applyFont="1">
      <alignment horizontal="left" readingOrder="0"/>
    </xf>
    <xf borderId="0" fillId="7" fontId="3" numFmtId="0" xfId="0" applyAlignment="1" applyFont="1">
      <alignment readingOrder="0"/>
    </xf>
    <xf borderId="0" fillId="7" fontId="3" numFmtId="0" xfId="0" applyFont="1"/>
    <xf borderId="0" fillId="24" fontId="3" numFmtId="0" xfId="0" applyAlignment="1" applyFont="1">
      <alignment readingOrder="0"/>
    </xf>
    <xf borderId="0" fillId="0" fontId="13" numFmtId="0" xfId="0" applyAlignment="1" applyFont="1">
      <alignment readingOrder="0"/>
    </xf>
    <xf borderId="6" fillId="24" fontId="2" numFmtId="0" xfId="0" applyAlignment="1" applyBorder="1" applyFont="1">
      <alignment readingOrder="0"/>
    </xf>
    <xf borderId="0" fillId="24" fontId="3" numFmtId="0" xfId="0" applyFont="1"/>
    <xf borderId="0" fillId="2" fontId="2" numFmtId="0" xfId="0" applyFont="1"/>
    <xf borderId="6" fillId="0" fontId="3" numFmtId="0" xfId="0" applyBorder="1" applyFont="1"/>
    <xf borderId="6" fillId="24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0"/>
    <col customWidth="1" min="7" max="7" width="15.88"/>
  </cols>
  <sheetData>
    <row r="1">
      <c r="A1" s="1" t="s">
        <v>0</v>
      </c>
    </row>
    <row r="2">
      <c r="B2" s="2" t="s">
        <v>1</v>
      </c>
      <c r="C2" s="2" t="s">
        <v>2</v>
      </c>
      <c r="D2" s="2" t="s">
        <v>3</v>
      </c>
      <c r="E2" s="2" t="s">
        <v>4</v>
      </c>
      <c r="F2" s="2" t="s">
        <v>4</v>
      </c>
      <c r="G2" s="2" t="s">
        <v>5</v>
      </c>
    </row>
    <row r="3">
      <c r="B3" s="3" t="s">
        <v>6</v>
      </c>
      <c r="C3" s="3" t="s">
        <v>7</v>
      </c>
      <c r="D3" s="3" t="s">
        <v>8</v>
      </c>
      <c r="E3" s="3" t="s">
        <v>9</v>
      </c>
      <c r="F3" s="3" t="s">
        <v>10</v>
      </c>
      <c r="G3" s="3" t="s">
        <v>11</v>
      </c>
    </row>
    <row r="4">
      <c r="A4" s="3" t="s">
        <v>12</v>
      </c>
      <c r="B4" s="3">
        <v>174.0</v>
      </c>
      <c r="C4" s="3">
        <v>205.0</v>
      </c>
      <c r="D4" s="3">
        <v>230.0</v>
      </c>
      <c r="E4" s="3">
        <v>270.0</v>
      </c>
      <c r="F4" s="3">
        <v>320.0</v>
      </c>
      <c r="G4" s="3">
        <v>350.0</v>
      </c>
    </row>
    <row r="5">
      <c r="A5" s="3" t="s">
        <v>13</v>
      </c>
      <c r="B5" s="4">
        <f t="shared" ref="B5:B14" si="3">C5-25</f>
        <v>145</v>
      </c>
      <c r="C5" s="4">
        <f t="shared" ref="C5:D5" si="1">D5-40</f>
        <v>170</v>
      </c>
      <c r="D5" s="4">
        <f t="shared" si="1"/>
        <v>210</v>
      </c>
      <c r="E5" s="3">
        <v>250.0</v>
      </c>
      <c r="F5" s="4">
        <f t="shared" ref="F5:G5" si="2">E5+30</f>
        <v>280</v>
      </c>
      <c r="G5" s="4">
        <f t="shared" si="2"/>
        <v>310</v>
      </c>
    </row>
    <row r="6">
      <c r="A6" s="3" t="s">
        <v>14</v>
      </c>
      <c r="B6" s="4">
        <f t="shared" si="3"/>
        <v>130</v>
      </c>
      <c r="C6" s="4">
        <f t="shared" ref="C6:D6" si="4">D6-40</f>
        <v>155</v>
      </c>
      <c r="D6" s="4">
        <f t="shared" si="4"/>
        <v>195</v>
      </c>
      <c r="E6" s="3">
        <v>235.0</v>
      </c>
      <c r="F6" s="4">
        <f t="shared" ref="F6:G6" si="5">E6+30</f>
        <v>265</v>
      </c>
      <c r="G6" s="4">
        <f t="shared" si="5"/>
        <v>295</v>
      </c>
    </row>
    <row r="7">
      <c r="A7" s="3" t="s">
        <v>15</v>
      </c>
      <c r="B7" s="4">
        <f t="shared" si="3"/>
        <v>115</v>
      </c>
      <c r="C7" s="4">
        <f t="shared" ref="C7:D7" si="6">D7-40</f>
        <v>140</v>
      </c>
      <c r="D7" s="4">
        <f t="shared" si="6"/>
        <v>180</v>
      </c>
      <c r="E7" s="3">
        <v>220.0</v>
      </c>
      <c r="F7" s="4">
        <f t="shared" ref="F7:G7" si="7">E7+30</f>
        <v>250</v>
      </c>
      <c r="G7" s="4">
        <f t="shared" si="7"/>
        <v>280</v>
      </c>
    </row>
    <row r="8">
      <c r="A8" s="3" t="s">
        <v>16</v>
      </c>
      <c r="B8" s="4">
        <f t="shared" si="3"/>
        <v>105</v>
      </c>
      <c r="C8" s="4">
        <f t="shared" ref="C8:D8" si="8">D8-40</f>
        <v>130</v>
      </c>
      <c r="D8" s="4">
        <f t="shared" si="8"/>
        <v>170</v>
      </c>
      <c r="E8" s="3">
        <v>210.0</v>
      </c>
      <c r="F8" s="4">
        <f t="shared" ref="F8:G8" si="9">E8+30</f>
        <v>240</v>
      </c>
      <c r="G8" s="4">
        <f t="shared" si="9"/>
        <v>270</v>
      </c>
    </row>
    <row r="9">
      <c r="A9" s="3" t="s">
        <v>17</v>
      </c>
      <c r="B9" s="4">
        <f t="shared" si="3"/>
        <v>95</v>
      </c>
      <c r="C9" s="4">
        <f t="shared" ref="C9:D9" si="10">D9-40</f>
        <v>120</v>
      </c>
      <c r="D9" s="4">
        <f t="shared" si="10"/>
        <v>160</v>
      </c>
      <c r="E9" s="3">
        <v>200.0</v>
      </c>
      <c r="F9" s="4">
        <f t="shared" ref="F9:G9" si="11">E9+30</f>
        <v>230</v>
      </c>
      <c r="G9" s="4">
        <f t="shared" si="11"/>
        <v>260</v>
      </c>
    </row>
    <row r="10">
      <c r="A10" s="3" t="s">
        <v>18</v>
      </c>
      <c r="B10" s="4">
        <f t="shared" si="3"/>
        <v>85</v>
      </c>
      <c r="C10" s="4">
        <f t="shared" ref="C10:D10" si="12">D10-40</f>
        <v>110</v>
      </c>
      <c r="D10" s="4">
        <f t="shared" si="12"/>
        <v>150</v>
      </c>
      <c r="E10" s="3">
        <v>190.0</v>
      </c>
      <c r="F10" s="4">
        <f t="shared" ref="F10:G10" si="13">E10+30</f>
        <v>220</v>
      </c>
      <c r="G10" s="4">
        <f t="shared" si="13"/>
        <v>250</v>
      </c>
    </row>
    <row r="11">
      <c r="A11" s="3" t="s">
        <v>19</v>
      </c>
      <c r="B11" s="4">
        <f t="shared" si="3"/>
        <v>75</v>
      </c>
      <c r="C11" s="4">
        <f t="shared" ref="C11:D11" si="14">D11-40</f>
        <v>100</v>
      </c>
      <c r="D11" s="4">
        <f t="shared" si="14"/>
        <v>140</v>
      </c>
      <c r="E11" s="3">
        <v>180.0</v>
      </c>
      <c r="F11" s="4">
        <f t="shared" ref="F11:G11" si="15">E11+30</f>
        <v>210</v>
      </c>
      <c r="G11" s="4">
        <f t="shared" si="15"/>
        <v>240</v>
      </c>
    </row>
    <row r="12">
      <c r="A12" s="3" t="s">
        <v>20</v>
      </c>
      <c r="B12" s="4">
        <f t="shared" si="3"/>
        <v>65</v>
      </c>
      <c r="C12" s="4">
        <f t="shared" ref="C12:D12" si="16">D12-40</f>
        <v>90</v>
      </c>
      <c r="D12" s="4">
        <f t="shared" si="16"/>
        <v>130</v>
      </c>
      <c r="E12" s="3">
        <v>170.0</v>
      </c>
      <c r="F12" s="4">
        <f t="shared" ref="F12:G12" si="17">E12+30</f>
        <v>200</v>
      </c>
      <c r="G12" s="4">
        <f t="shared" si="17"/>
        <v>230</v>
      </c>
    </row>
    <row r="13">
      <c r="A13" s="3" t="s">
        <v>21</v>
      </c>
      <c r="B13" s="4">
        <f t="shared" si="3"/>
        <v>55</v>
      </c>
      <c r="C13" s="4">
        <f t="shared" ref="C13:D13" si="18">D13-40</f>
        <v>80</v>
      </c>
      <c r="D13" s="4">
        <f t="shared" si="18"/>
        <v>120</v>
      </c>
      <c r="E13" s="3">
        <v>160.0</v>
      </c>
      <c r="F13" s="4">
        <f t="shared" ref="F13:G13" si="19">E13+30</f>
        <v>190</v>
      </c>
      <c r="G13" s="4">
        <f t="shared" si="19"/>
        <v>220</v>
      </c>
    </row>
    <row r="14">
      <c r="A14" s="3" t="s">
        <v>22</v>
      </c>
      <c r="B14" s="4">
        <f t="shared" si="3"/>
        <v>45</v>
      </c>
      <c r="C14" s="4">
        <f t="shared" ref="C14:D14" si="20">D14-40</f>
        <v>70</v>
      </c>
      <c r="D14" s="4">
        <f t="shared" si="20"/>
        <v>110</v>
      </c>
      <c r="E14" s="3">
        <v>150.0</v>
      </c>
      <c r="F14" s="4">
        <f t="shared" ref="F14:G14" si="21">E14+30</f>
        <v>180</v>
      </c>
      <c r="G14" s="4">
        <f t="shared" si="21"/>
        <v>210</v>
      </c>
    </row>
    <row r="15">
      <c r="A15" s="3" t="s">
        <v>23</v>
      </c>
      <c r="B15" s="5">
        <v>40.0</v>
      </c>
      <c r="C15" s="6">
        <f t="shared" ref="C15:D15" si="22">D15-40</f>
        <v>60</v>
      </c>
      <c r="D15" s="7">
        <f t="shared" si="22"/>
        <v>100</v>
      </c>
      <c r="E15" s="8">
        <v>140.0</v>
      </c>
      <c r="F15" s="7">
        <f t="shared" ref="F15:G15" si="23">E15+30</f>
        <v>170</v>
      </c>
      <c r="G15" s="7">
        <f t="shared" si="23"/>
        <v>200</v>
      </c>
    </row>
    <row r="16">
      <c r="A16" s="3" t="s">
        <v>24</v>
      </c>
      <c r="B16" s="5">
        <v>35.0</v>
      </c>
      <c r="C16" s="6">
        <f t="shared" ref="C16:D16" si="24">D16-40</f>
        <v>50</v>
      </c>
      <c r="D16" s="7">
        <f t="shared" si="24"/>
        <v>90</v>
      </c>
      <c r="E16" s="8">
        <v>130.0</v>
      </c>
      <c r="F16" s="7">
        <f t="shared" ref="F16:G16" si="25">E16+30</f>
        <v>160</v>
      </c>
      <c r="G16" s="7">
        <f t="shared" si="25"/>
        <v>190</v>
      </c>
      <c r="H16" s="3" t="s">
        <v>25</v>
      </c>
    </row>
    <row r="17">
      <c r="A17" s="3" t="s">
        <v>26</v>
      </c>
      <c r="B17" s="5">
        <v>30.0</v>
      </c>
      <c r="C17" s="6">
        <f t="shared" ref="C17:D17" si="26">D17-40</f>
        <v>30</v>
      </c>
      <c r="D17" s="7">
        <f t="shared" si="26"/>
        <v>70</v>
      </c>
      <c r="E17" s="8">
        <v>110.0</v>
      </c>
      <c r="F17" s="7">
        <f t="shared" ref="F17:G17" si="27">E17+30</f>
        <v>140</v>
      </c>
      <c r="G17" s="7">
        <f t="shared" si="27"/>
        <v>170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9"/>
      <c r="B2" s="10"/>
      <c r="C2" s="11"/>
      <c r="D2" s="11"/>
      <c r="E2" s="11"/>
      <c r="F2" s="12"/>
      <c r="G2" s="13"/>
      <c r="H2" s="14" t="s">
        <v>27</v>
      </c>
      <c r="I2" s="14"/>
      <c r="J2" s="14"/>
      <c r="K2" s="14" t="s">
        <v>28</v>
      </c>
      <c r="L2" s="14">
        <f>RANDBETWEEN(1,3)</f>
        <v>1</v>
      </c>
      <c r="M2" s="14" t="s">
        <v>29</v>
      </c>
      <c r="N2" s="15">
        <v>0.0</v>
      </c>
      <c r="O2" s="16"/>
      <c r="P2" s="16"/>
      <c r="Q2" s="16"/>
      <c r="R2" s="16"/>
      <c r="S2" s="16"/>
      <c r="T2" s="17"/>
      <c r="U2" s="17"/>
      <c r="V2" s="18"/>
      <c r="X2" s="3" t="s">
        <v>30</v>
      </c>
      <c r="AA2" s="3" t="s">
        <v>31</v>
      </c>
    </row>
    <row r="3">
      <c r="A3" s="9"/>
      <c r="B3" s="19"/>
      <c r="C3" s="20"/>
      <c r="D3" s="20"/>
      <c r="E3" s="20"/>
      <c r="F3" s="21"/>
      <c r="G3" s="22"/>
      <c r="H3" s="23"/>
      <c r="I3" s="23"/>
      <c r="J3" s="23"/>
      <c r="K3" s="23"/>
      <c r="L3" s="24" t="s">
        <v>32</v>
      </c>
      <c r="M3" s="24" t="s">
        <v>33</v>
      </c>
      <c r="N3" s="25"/>
      <c r="O3" s="25"/>
      <c r="P3" s="25"/>
      <c r="Q3" s="25"/>
      <c r="R3" s="25"/>
      <c r="S3" s="25"/>
      <c r="T3" s="26"/>
      <c r="U3" s="27" t="s">
        <v>34</v>
      </c>
      <c r="V3" s="28"/>
      <c r="X3" s="3"/>
      <c r="AA3" s="3"/>
    </row>
    <row r="4">
      <c r="A4" s="9"/>
      <c r="B4" s="19"/>
      <c r="C4" s="20"/>
      <c r="D4" s="20"/>
      <c r="E4" s="20"/>
      <c r="F4" s="29" t="s">
        <v>31</v>
      </c>
      <c r="G4" s="30"/>
      <c r="H4" s="23"/>
      <c r="I4" s="23"/>
      <c r="J4" s="23"/>
      <c r="K4" s="23"/>
      <c r="L4" s="25">
        <f>VLOOKUP(L3,RECOVERY!$AA$8:$AP$10,2,FALSE)</f>
        <v>2.5</v>
      </c>
      <c r="M4" s="25">
        <f>VLOOKUP(M3,RECOVERY!$AA$27:$AP$29,2,FALSE)</f>
        <v>0.65</v>
      </c>
      <c r="N4" s="23">
        <v>-1.5</v>
      </c>
      <c r="O4" s="23">
        <v>0.0</v>
      </c>
      <c r="P4" s="23">
        <v>1.5</v>
      </c>
      <c r="Q4" s="25"/>
      <c r="R4" s="23" t="s">
        <v>35</v>
      </c>
      <c r="S4" s="25"/>
      <c r="T4" s="27">
        <v>0.1</v>
      </c>
      <c r="U4" s="27">
        <v>1.33</v>
      </c>
      <c r="V4" s="31">
        <v>-1.23</v>
      </c>
      <c r="X4" s="3"/>
      <c r="AA4" s="3"/>
    </row>
    <row r="5">
      <c r="A5" s="9"/>
      <c r="B5" s="32" t="s">
        <v>6</v>
      </c>
      <c r="C5" s="33"/>
      <c r="D5" s="21" t="s">
        <v>36</v>
      </c>
      <c r="E5" s="34" t="s">
        <v>37</v>
      </c>
      <c r="F5" s="29" t="str">
        <f>SUM(F6:F11)&amp;"/24"</f>
        <v>34/24</v>
      </c>
      <c r="G5" s="30" t="s">
        <v>38</v>
      </c>
      <c r="H5" s="35" t="s">
        <v>39</v>
      </c>
      <c r="I5" s="36" t="s">
        <v>40</v>
      </c>
      <c r="J5" s="36" t="s">
        <v>41</v>
      </c>
      <c r="K5" s="36" t="s">
        <v>42</v>
      </c>
      <c r="L5" s="36" t="s">
        <v>43</v>
      </c>
      <c r="M5" s="36" t="s">
        <v>44</v>
      </c>
      <c r="N5" s="36" t="s">
        <v>45</v>
      </c>
      <c r="O5" s="36" t="s">
        <v>46</v>
      </c>
      <c r="P5" s="36" t="s">
        <v>47</v>
      </c>
      <c r="Q5" s="30" t="s">
        <v>48</v>
      </c>
      <c r="R5" s="36" t="s">
        <v>49</v>
      </c>
      <c r="S5" s="30" t="s">
        <v>50</v>
      </c>
      <c r="T5" s="37" t="s">
        <v>51</v>
      </c>
      <c r="U5" s="37" t="s">
        <v>45</v>
      </c>
      <c r="V5" s="38" t="s">
        <v>47</v>
      </c>
      <c r="X5" s="3" t="s">
        <v>6</v>
      </c>
      <c r="Y5" s="3" t="s">
        <v>36</v>
      </c>
      <c r="Z5" s="3" t="s">
        <v>37</v>
      </c>
      <c r="AA5" s="3" t="str">
        <f>SUM(AA6:AA9)&amp;"/25"</f>
        <v>0/25</v>
      </c>
      <c r="AB5" s="3" t="s">
        <v>38</v>
      </c>
    </row>
    <row r="6">
      <c r="A6" s="9"/>
      <c r="B6" s="39" t="s">
        <v>12</v>
      </c>
      <c r="C6" s="40" t="s">
        <v>52</v>
      </c>
      <c r="D6" s="24">
        <v>150.0</v>
      </c>
      <c r="E6" s="41">
        <f t="shared" ref="E6:E11" si="3">D6+F6</f>
        <v>184</v>
      </c>
      <c r="F6" s="42">
        <v>34.0</v>
      </c>
      <c r="G6" s="30">
        <v>35.0</v>
      </c>
      <c r="H6" s="43">
        <f>$G$6+(E6/2)+$AB$6+(Z6/2)+$L$2</f>
        <v>173</v>
      </c>
      <c r="I6" s="30">
        <f>1-(E7/1000)</f>
        <v>0.87</v>
      </c>
      <c r="J6" s="30">
        <f>ROUND(POWER(E6/100,0.5),3)</f>
        <v>1.356</v>
      </c>
      <c r="K6" s="44">
        <f>(G8*J6*I6*N2)</f>
        <v>0</v>
      </c>
      <c r="L6" s="44">
        <f>1+(L4-1)*(1-E10/500)</f>
        <v>2.485</v>
      </c>
      <c r="M6" s="44">
        <f>M4+((1-M4)*0.5*E10/400)</f>
        <v>0.6521875</v>
      </c>
      <c r="N6" s="44">
        <f>(E9+(Q6*N4))/1.3</f>
        <v>26.23076923</v>
      </c>
      <c r="O6" s="44">
        <f t="shared" ref="O6:P6" si="1">(D9+(P6*O4))/1.3</f>
        <v>26.92307692</v>
      </c>
      <c r="P6" s="44">
        <f t="shared" si="1"/>
        <v>27.61538462</v>
      </c>
      <c r="Q6" s="30">
        <f>3*(E8/100)</f>
        <v>0.6</v>
      </c>
      <c r="R6" s="44">
        <f>E8*1*(VLOOKUP(B6,SPIN!$M$27:$N$40,2,FALSE))</f>
        <v>800</v>
      </c>
      <c r="S6" s="30">
        <f>E8*2*3.14/60</f>
        <v>2.093333333</v>
      </c>
      <c r="T6" s="45">
        <f t="shared" ref="T6:V6" si="2">$S6*T4*8</f>
        <v>1.674666667</v>
      </c>
      <c r="U6" s="45">
        <f t="shared" si="2"/>
        <v>22.27306667</v>
      </c>
      <c r="V6" s="46">
        <f t="shared" si="2"/>
        <v>-20.5984</v>
      </c>
      <c r="X6" s="3" t="s">
        <v>53</v>
      </c>
      <c r="Y6" s="3">
        <v>30.0</v>
      </c>
      <c r="Z6" s="4">
        <f t="shared" ref="Z6:Z9" si="4">Y6+AA6</f>
        <v>30</v>
      </c>
      <c r="AB6" s="3">
        <v>30.0</v>
      </c>
    </row>
    <row r="7">
      <c r="A7" s="9"/>
      <c r="B7" s="47"/>
      <c r="C7" s="40" t="s">
        <v>54</v>
      </c>
      <c r="D7" s="21">
        <v>130.0</v>
      </c>
      <c r="E7" s="41">
        <f t="shared" si="3"/>
        <v>130</v>
      </c>
      <c r="F7" s="42"/>
      <c r="G7" s="30" t="s">
        <v>55</v>
      </c>
      <c r="H7" s="23" t="s">
        <v>27</v>
      </c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7"/>
      <c r="U7" s="27"/>
      <c r="V7" s="31"/>
      <c r="X7" s="3" t="s">
        <v>56</v>
      </c>
      <c r="Y7" s="3">
        <v>50.0</v>
      </c>
      <c r="Z7" s="4">
        <f t="shared" si="4"/>
        <v>50</v>
      </c>
    </row>
    <row r="8">
      <c r="A8" s="9"/>
      <c r="B8" s="47"/>
      <c r="C8" s="40" t="s">
        <v>57</v>
      </c>
      <c r="D8" s="21">
        <v>20.0</v>
      </c>
      <c r="E8" s="41">
        <f t="shared" si="3"/>
        <v>20</v>
      </c>
      <c r="F8" s="42"/>
      <c r="G8" s="30">
        <v>20.0</v>
      </c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7"/>
      <c r="U8" s="27"/>
      <c r="V8" s="31"/>
      <c r="X8" s="3" t="s">
        <v>58</v>
      </c>
      <c r="Y8" s="3">
        <v>150.0</v>
      </c>
      <c r="Z8" s="4">
        <f t="shared" si="4"/>
        <v>150</v>
      </c>
    </row>
    <row r="9">
      <c r="A9" s="9"/>
      <c r="B9" s="47"/>
      <c r="C9" s="40" t="s">
        <v>59</v>
      </c>
      <c r="D9" s="48">
        <v>35.0</v>
      </c>
      <c r="E9" s="41">
        <f t="shared" si="3"/>
        <v>35</v>
      </c>
      <c r="F9" s="49"/>
      <c r="G9" s="50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7"/>
      <c r="U9" s="27"/>
      <c r="V9" s="31"/>
      <c r="X9" s="3" t="s">
        <v>60</v>
      </c>
      <c r="Y9" s="3">
        <v>5.0</v>
      </c>
      <c r="Z9" s="4">
        <f t="shared" si="4"/>
        <v>5</v>
      </c>
    </row>
    <row r="10">
      <c r="A10" s="9"/>
      <c r="B10" s="47"/>
      <c r="C10" s="40" t="s">
        <v>61</v>
      </c>
      <c r="D10" s="21">
        <v>5.0</v>
      </c>
      <c r="E10" s="41">
        <f t="shared" si="3"/>
        <v>5</v>
      </c>
      <c r="F10" s="42"/>
      <c r="G10" s="50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7"/>
      <c r="U10" s="27"/>
      <c r="V10" s="31"/>
    </row>
    <row r="11">
      <c r="A11" s="9"/>
      <c r="B11" s="51"/>
      <c r="C11" s="52" t="s">
        <v>62</v>
      </c>
      <c r="D11" s="53">
        <v>100.0</v>
      </c>
      <c r="E11" s="54">
        <f t="shared" si="3"/>
        <v>100</v>
      </c>
      <c r="F11" s="42"/>
      <c r="G11" s="55"/>
      <c r="H11" s="56"/>
      <c r="I11" s="56"/>
      <c r="J11" s="56"/>
      <c r="K11" s="56"/>
      <c r="L11" s="56"/>
      <c r="M11" s="56"/>
      <c r="N11" s="56"/>
      <c r="O11" s="56"/>
      <c r="P11" s="56"/>
      <c r="Q11" s="56"/>
      <c r="R11" s="56"/>
      <c r="S11" s="56"/>
      <c r="T11" s="57"/>
      <c r="U11" s="57"/>
      <c r="V11" s="58"/>
    </row>
    <row r="14">
      <c r="B14" s="3" t="s">
        <v>63</v>
      </c>
    </row>
  </sheetData>
  <dataValidations>
    <dataValidation type="list" allowBlank="1" showErrorMessage="1" sqref="N2">
      <formula1>"0,0.5,1"</formula1>
    </dataValidation>
    <dataValidation type="list" allowBlank="1" showErrorMessage="1" sqref="G8">
      <formula1>"20,17,14,11,7,5"</formula1>
    </dataValidation>
    <dataValidation type="list" allowBlank="1" showErrorMessage="1" sqref="G6">
      <formula1>"30,35,40,45,50,55"</formula1>
    </dataValidation>
    <dataValidation type="list" allowBlank="1" showErrorMessage="1" sqref="L3:M3">
      <formula1>"Rough,SemiRough,Bunker"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D9D9"/>
    <outlinePr summaryBelow="0" summaryRight="0"/>
  </sheetPr>
  <sheetViews>
    <sheetView workbookViewId="0"/>
  </sheetViews>
  <sheetFormatPr customHeight="1" defaultColWidth="12.63" defaultRowHeight="15.75"/>
  <cols>
    <col customWidth="1" min="1" max="1" width="2.88"/>
    <col customWidth="1" min="4" max="4" width="4.0"/>
    <col customWidth="1" min="6" max="6" width="11.38"/>
    <col customWidth="1" min="7" max="7" width="3.13"/>
    <col customWidth="1" min="8" max="8" width="14.63"/>
    <col customWidth="1" min="9" max="9" width="9.75"/>
    <col customWidth="1" min="10" max="10" width="18.5"/>
    <col customWidth="1" min="11" max="11" width="14.13"/>
    <col customWidth="1" min="12" max="12" width="16.13"/>
    <col customWidth="1" min="14" max="14" width="9.0"/>
    <col customWidth="1" min="15" max="16" width="10.38"/>
    <col customWidth="1" min="17" max="17" width="4.5"/>
    <col customWidth="1" min="18" max="18" width="10.38"/>
    <col customWidth="1" min="19" max="19" width="4.5"/>
    <col customWidth="1" min="20" max="21" width="10.13"/>
    <col customWidth="1" min="22" max="22" width="10.25"/>
    <col customWidth="1" min="24" max="24" width="14.5"/>
    <col customWidth="1" min="25" max="25" width="3.88"/>
  </cols>
  <sheetData>
    <row r="2">
      <c r="A2" s="9"/>
      <c r="B2" s="10"/>
      <c r="C2" s="11"/>
      <c r="D2" s="11"/>
      <c r="E2" s="11"/>
      <c r="F2" s="12"/>
      <c r="G2" s="13"/>
      <c r="H2" s="14" t="s">
        <v>27</v>
      </c>
      <c r="I2" s="14"/>
      <c r="J2" s="14"/>
      <c r="K2" s="14" t="s">
        <v>28</v>
      </c>
      <c r="L2" s="14">
        <f>RANDBETWEEN(1,3)</f>
        <v>1</v>
      </c>
      <c r="M2" s="14" t="s">
        <v>29</v>
      </c>
      <c r="N2" s="15">
        <v>1.0</v>
      </c>
      <c r="O2" s="16"/>
      <c r="P2" s="16"/>
      <c r="Q2" s="16"/>
      <c r="R2" s="16"/>
      <c r="S2" s="16"/>
      <c r="T2" s="17"/>
      <c r="U2" s="17"/>
      <c r="V2" s="18"/>
      <c r="X2" s="3" t="s">
        <v>30</v>
      </c>
      <c r="AA2" s="3" t="s">
        <v>31</v>
      </c>
    </row>
    <row r="3">
      <c r="A3" s="9"/>
      <c r="B3" s="19"/>
      <c r="C3" s="20"/>
      <c r="D3" s="20"/>
      <c r="E3" s="20"/>
      <c r="F3" s="21"/>
      <c r="G3" s="22"/>
      <c r="H3" s="23"/>
      <c r="I3" s="23"/>
      <c r="J3" s="23"/>
      <c r="K3" s="23"/>
      <c r="L3" s="24" t="s">
        <v>33</v>
      </c>
      <c r="M3" s="24" t="s">
        <v>33</v>
      </c>
      <c r="N3" s="25"/>
      <c r="O3" s="25"/>
      <c r="P3" s="25"/>
      <c r="Q3" s="25"/>
      <c r="R3" s="25"/>
      <c r="S3" s="25"/>
      <c r="T3" s="26"/>
      <c r="U3" s="27" t="s">
        <v>34</v>
      </c>
      <c r="V3" s="28"/>
      <c r="X3" s="3"/>
      <c r="AA3" s="3"/>
    </row>
    <row r="4">
      <c r="A4" s="9"/>
      <c r="B4" s="19"/>
      <c r="C4" s="20"/>
      <c r="D4" s="20"/>
      <c r="E4" s="20"/>
      <c r="F4" s="29" t="s">
        <v>31</v>
      </c>
      <c r="G4" s="30"/>
      <c r="H4" s="23"/>
      <c r="I4" s="23"/>
      <c r="J4" s="23"/>
      <c r="K4" s="23"/>
      <c r="L4" s="25">
        <f>VLOOKUP(L3,RECOVERY!$AA$8:$AP$10,2,FALSE)</f>
        <v>1.4</v>
      </c>
      <c r="M4" s="25">
        <f>VLOOKUP(M3,RECOVERY!$AA$27:$AP$29,2,FALSE)</f>
        <v>0.65</v>
      </c>
      <c r="N4" s="23">
        <v>-1.5</v>
      </c>
      <c r="O4" s="23">
        <v>0.0</v>
      </c>
      <c r="P4" s="23">
        <v>1.5</v>
      </c>
      <c r="Q4" s="25"/>
      <c r="R4" s="23" t="s">
        <v>35</v>
      </c>
      <c r="S4" s="25"/>
      <c r="T4" s="27">
        <v>0.1</v>
      </c>
      <c r="U4" s="27">
        <v>1.33</v>
      </c>
      <c r="V4" s="31">
        <v>-1.23</v>
      </c>
      <c r="X4" s="3"/>
      <c r="AA4" s="3"/>
    </row>
    <row r="5">
      <c r="A5" s="9"/>
      <c r="B5" s="32" t="s">
        <v>6</v>
      </c>
      <c r="C5" s="33"/>
      <c r="D5" s="21" t="s">
        <v>36</v>
      </c>
      <c r="E5" s="34" t="s">
        <v>37</v>
      </c>
      <c r="F5" s="29" t="str">
        <f>SUM(F6:F11)&amp;"/25"</f>
        <v>0/25</v>
      </c>
      <c r="G5" s="30" t="s">
        <v>38</v>
      </c>
      <c r="H5" s="36" t="s">
        <v>39</v>
      </c>
      <c r="I5" s="36" t="s">
        <v>40</v>
      </c>
      <c r="J5" s="36" t="s">
        <v>41</v>
      </c>
      <c r="K5" s="36" t="s">
        <v>42</v>
      </c>
      <c r="L5" s="36" t="s">
        <v>43</v>
      </c>
      <c r="M5" s="36" t="s">
        <v>44</v>
      </c>
      <c r="N5" s="36" t="s">
        <v>45</v>
      </c>
      <c r="O5" s="36" t="s">
        <v>46</v>
      </c>
      <c r="P5" s="36" t="s">
        <v>47</v>
      </c>
      <c r="Q5" s="30" t="s">
        <v>48</v>
      </c>
      <c r="R5" s="36" t="s">
        <v>49</v>
      </c>
      <c r="S5" s="30" t="s">
        <v>50</v>
      </c>
      <c r="T5" s="37" t="s">
        <v>51</v>
      </c>
      <c r="U5" s="37" t="s">
        <v>45</v>
      </c>
      <c r="V5" s="38" t="s">
        <v>47</v>
      </c>
      <c r="X5" s="3" t="s">
        <v>6</v>
      </c>
      <c r="Y5" s="3" t="s">
        <v>36</v>
      </c>
      <c r="Z5" s="3" t="s">
        <v>37</v>
      </c>
      <c r="AA5" s="3" t="str">
        <f>SUM(AA6:AA9)&amp;"/25"</f>
        <v>0/25</v>
      </c>
      <c r="AB5" s="3" t="s">
        <v>38</v>
      </c>
    </row>
    <row r="6">
      <c r="A6" s="9"/>
      <c r="B6" s="39" t="s">
        <v>12</v>
      </c>
      <c r="C6" s="40" t="s">
        <v>52</v>
      </c>
      <c r="D6" s="21">
        <v>135.0</v>
      </c>
      <c r="E6" s="41">
        <f t="shared" ref="E6:E11" si="3">D6+F6</f>
        <v>135</v>
      </c>
      <c r="F6" s="42"/>
      <c r="G6" s="30">
        <v>30.0</v>
      </c>
      <c r="H6" s="44">
        <f>$G$6+(E6/2)+$AB$6+(Z6/2)+$L$2</f>
        <v>143.5</v>
      </c>
      <c r="I6" s="30">
        <f>1-(E7/1000)</f>
        <v>0.87</v>
      </c>
      <c r="J6" s="30">
        <f>ROUND(POWER(E6/100,0.5),3)</f>
        <v>1.162</v>
      </c>
      <c r="K6" s="44">
        <f>(G8*J6*I6*N2)</f>
        <v>20.2188</v>
      </c>
      <c r="L6" s="44">
        <f>1+(L4-1)*(1-E10/500)</f>
        <v>1.396</v>
      </c>
      <c r="M6" s="44">
        <f>M4+((1-M4)*0.5*E10/400)</f>
        <v>0.6521875</v>
      </c>
      <c r="N6" s="44">
        <f>(E9+(Q6*N4))/1.3</f>
        <v>26.23076923</v>
      </c>
      <c r="O6" s="44">
        <f t="shared" ref="O6:P6" si="1">(D9+(P6*O4))/1.3</f>
        <v>26.92307692</v>
      </c>
      <c r="P6" s="44">
        <f t="shared" si="1"/>
        <v>27.61538462</v>
      </c>
      <c r="Q6" s="30">
        <f>3*(E8/100)</f>
        <v>0.6</v>
      </c>
      <c r="R6" s="44">
        <f>E8*1*(VLOOKUP(B6,SPIN!$M$27:$N$40,2,FALSE))</f>
        <v>800</v>
      </c>
      <c r="S6" s="30">
        <f>E8*2*3.14/60</f>
        <v>2.093333333</v>
      </c>
      <c r="T6" s="45">
        <f t="shared" ref="T6:V6" si="2">$S6*T4*8</f>
        <v>1.674666667</v>
      </c>
      <c r="U6" s="45">
        <f t="shared" si="2"/>
        <v>22.27306667</v>
      </c>
      <c r="V6" s="46">
        <f t="shared" si="2"/>
        <v>-20.5984</v>
      </c>
      <c r="X6" s="3" t="s">
        <v>53</v>
      </c>
      <c r="Y6" s="3">
        <v>30.0</v>
      </c>
      <c r="Z6" s="4">
        <f t="shared" ref="Z6:Z9" si="4">Y6+AA6</f>
        <v>30</v>
      </c>
      <c r="AB6" s="3">
        <v>30.0</v>
      </c>
    </row>
    <row r="7">
      <c r="A7" s="9"/>
      <c r="B7" s="47"/>
      <c r="C7" s="40" t="s">
        <v>54</v>
      </c>
      <c r="D7" s="21">
        <v>130.0</v>
      </c>
      <c r="E7" s="41">
        <f t="shared" si="3"/>
        <v>130</v>
      </c>
      <c r="F7" s="42"/>
      <c r="G7" s="30" t="s">
        <v>55</v>
      </c>
      <c r="H7" s="23" t="s">
        <v>27</v>
      </c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7"/>
      <c r="U7" s="27"/>
      <c r="V7" s="31"/>
      <c r="X7" s="3" t="s">
        <v>56</v>
      </c>
      <c r="Y7" s="3">
        <v>50.0</v>
      </c>
      <c r="Z7" s="4">
        <f t="shared" si="4"/>
        <v>50</v>
      </c>
    </row>
    <row r="8">
      <c r="A8" s="9"/>
      <c r="B8" s="47"/>
      <c r="C8" s="40" t="s">
        <v>57</v>
      </c>
      <c r="D8" s="21">
        <v>20.0</v>
      </c>
      <c r="E8" s="41">
        <f t="shared" si="3"/>
        <v>20</v>
      </c>
      <c r="F8" s="42"/>
      <c r="G8" s="30">
        <v>20.0</v>
      </c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7"/>
      <c r="U8" s="27"/>
      <c r="V8" s="31"/>
      <c r="X8" s="3" t="s">
        <v>58</v>
      </c>
      <c r="Y8" s="3">
        <v>150.0</v>
      </c>
      <c r="Z8" s="4">
        <f t="shared" si="4"/>
        <v>150</v>
      </c>
    </row>
    <row r="9">
      <c r="A9" s="9"/>
      <c r="B9" s="47"/>
      <c r="C9" s="40" t="s">
        <v>59</v>
      </c>
      <c r="D9" s="48">
        <v>35.0</v>
      </c>
      <c r="E9" s="41">
        <f t="shared" si="3"/>
        <v>35</v>
      </c>
      <c r="F9" s="49"/>
      <c r="G9" s="50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7"/>
      <c r="U9" s="27"/>
      <c r="V9" s="31"/>
      <c r="X9" s="3" t="s">
        <v>60</v>
      </c>
      <c r="Y9" s="3">
        <v>5.0</v>
      </c>
      <c r="Z9" s="4">
        <f t="shared" si="4"/>
        <v>5</v>
      </c>
    </row>
    <row r="10">
      <c r="A10" s="9"/>
      <c r="B10" s="47"/>
      <c r="C10" s="40" t="s">
        <v>61</v>
      </c>
      <c r="D10" s="21">
        <v>5.0</v>
      </c>
      <c r="E10" s="41">
        <f t="shared" si="3"/>
        <v>5</v>
      </c>
      <c r="F10" s="42"/>
      <c r="G10" s="50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7"/>
      <c r="U10" s="27"/>
      <c r="V10" s="31"/>
    </row>
    <row r="11">
      <c r="A11" s="9"/>
      <c r="B11" s="51"/>
      <c r="C11" s="52" t="s">
        <v>62</v>
      </c>
      <c r="D11" s="53">
        <v>100.0</v>
      </c>
      <c r="E11" s="54">
        <f t="shared" si="3"/>
        <v>100</v>
      </c>
      <c r="F11" s="42"/>
      <c r="G11" s="55"/>
      <c r="H11" s="56"/>
      <c r="I11" s="56"/>
      <c r="J11" s="56"/>
      <c r="K11" s="56"/>
      <c r="L11" s="56"/>
      <c r="M11" s="56"/>
      <c r="N11" s="56"/>
      <c r="O11" s="56"/>
      <c r="P11" s="56"/>
      <c r="Q11" s="56"/>
      <c r="R11" s="56"/>
      <c r="S11" s="56"/>
      <c r="T11" s="57"/>
      <c r="U11" s="57"/>
      <c r="V11" s="58"/>
    </row>
    <row r="12">
      <c r="A12" s="9"/>
      <c r="B12" s="10"/>
      <c r="C12" s="11"/>
      <c r="D12" s="11"/>
      <c r="E12" s="11"/>
      <c r="F12" s="12"/>
      <c r="G12" s="13"/>
      <c r="H12" s="14" t="s">
        <v>27</v>
      </c>
      <c r="I12" s="14"/>
      <c r="J12" s="14"/>
      <c r="K12" s="14" t="s">
        <v>28</v>
      </c>
      <c r="L12" s="16">
        <f>RANDBETWEEN(0,3)</f>
        <v>0</v>
      </c>
      <c r="M12" s="14" t="s">
        <v>29</v>
      </c>
      <c r="N12" s="15">
        <v>1.0</v>
      </c>
      <c r="O12" s="16"/>
      <c r="P12" s="16"/>
      <c r="Q12" s="16"/>
      <c r="R12" s="16"/>
      <c r="S12" s="16"/>
      <c r="T12" s="17"/>
      <c r="U12" s="17"/>
      <c r="V12" s="18"/>
    </row>
    <row r="13">
      <c r="A13" s="9"/>
      <c r="B13" s="19"/>
      <c r="C13" s="20"/>
      <c r="D13" s="20"/>
      <c r="E13" s="20"/>
      <c r="F13" s="21"/>
      <c r="G13" s="22"/>
      <c r="H13" s="23"/>
      <c r="I13" s="23"/>
      <c r="J13" s="23"/>
      <c r="K13" s="23"/>
      <c r="L13" s="24" t="s">
        <v>33</v>
      </c>
      <c r="M13" s="24" t="s">
        <v>33</v>
      </c>
      <c r="N13" s="25"/>
      <c r="O13" s="25"/>
      <c r="P13" s="25"/>
      <c r="Q13" s="25"/>
      <c r="R13" s="25"/>
      <c r="S13" s="25"/>
      <c r="T13" s="26"/>
      <c r="U13" s="27" t="s">
        <v>34</v>
      </c>
      <c r="V13" s="28"/>
    </row>
    <row r="14">
      <c r="A14" s="9"/>
      <c r="B14" s="19"/>
      <c r="C14" s="20"/>
      <c r="D14" s="20"/>
      <c r="E14" s="20"/>
      <c r="F14" s="29" t="s">
        <v>31</v>
      </c>
      <c r="G14" s="30"/>
      <c r="H14" s="23"/>
      <c r="I14" s="23"/>
      <c r="J14" s="23"/>
      <c r="K14" s="23"/>
      <c r="L14" s="25">
        <f>VLOOKUP(L13,RECOVERY!$AA$8:$AP$10,3,FALSE)</f>
        <v>1.4</v>
      </c>
      <c r="M14" s="25">
        <f>VLOOKUP(M13,RECOVERY!$AA$27:$AP$29,3,FALSE)</f>
        <v>0.65</v>
      </c>
      <c r="N14" s="23">
        <v>-1.5</v>
      </c>
      <c r="O14" s="23">
        <v>0.0</v>
      </c>
      <c r="P14" s="23">
        <v>1.5</v>
      </c>
      <c r="Q14" s="25"/>
      <c r="R14" s="23" t="s">
        <v>35</v>
      </c>
      <c r="S14" s="25"/>
      <c r="T14" s="27">
        <v>0.1</v>
      </c>
      <c r="U14" s="27">
        <v>1.33</v>
      </c>
      <c r="V14" s="31">
        <v>-1.23</v>
      </c>
    </row>
    <row r="15">
      <c r="A15" s="9"/>
      <c r="B15" s="32" t="s">
        <v>6</v>
      </c>
      <c r="C15" s="33"/>
      <c r="D15" s="21" t="s">
        <v>36</v>
      </c>
      <c r="E15" s="34" t="s">
        <v>37</v>
      </c>
      <c r="F15" s="29" t="str">
        <f>SUM(F16:F21)&amp;"/25"</f>
        <v>0/25</v>
      </c>
      <c r="G15" s="30" t="s">
        <v>38</v>
      </c>
      <c r="H15" s="36" t="s">
        <v>39</v>
      </c>
      <c r="I15" s="36" t="s">
        <v>40</v>
      </c>
      <c r="J15" s="36" t="s">
        <v>41</v>
      </c>
      <c r="K15" s="36" t="s">
        <v>42</v>
      </c>
      <c r="L15" s="36" t="s">
        <v>43</v>
      </c>
      <c r="M15" s="36" t="s">
        <v>44</v>
      </c>
      <c r="N15" s="36" t="s">
        <v>45</v>
      </c>
      <c r="O15" s="36" t="s">
        <v>46</v>
      </c>
      <c r="P15" s="36" t="s">
        <v>47</v>
      </c>
      <c r="Q15" s="30" t="s">
        <v>48</v>
      </c>
      <c r="R15" s="36" t="s">
        <v>49</v>
      </c>
      <c r="S15" s="30" t="s">
        <v>50</v>
      </c>
      <c r="T15" s="37" t="s">
        <v>51</v>
      </c>
      <c r="U15" s="37" t="s">
        <v>45</v>
      </c>
      <c r="V15" s="38" t="s">
        <v>47</v>
      </c>
    </row>
    <row r="16">
      <c r="A16" s="9"/>
      <c r="B16" s="39" t="s">
        <v>13</v>
      </c>
      <c r="C16" s="40" t="s">
        <v>52</v>
      </c>
      <c r="D16" s="21">
        <v>100.0</v>
      </c>
      <c r="E16" s="41">
        <f t="shared" ref="E16:E21" si="7">D16+F16</f>
        <v>100</v>
      </c>
      <c r="F16" s="42"/>
      <c r="G16" s="30">
        <v>30.0</v>
      </c>
      <c r="H16" s="44">
        <f>$G$6+(E16/2)+$AB$6+(Z16/2)+$L$2</f>
        <v>111</v>
      </c>
      <c r="I16" s="30">
        <f>1-(E17/1000)</f>
        <v>0.855</v>
      </c>
      <c r="J16" s="30">
        <f>ROUND(POWER(E16/100,0.5),3)</f>
        <v>1</v>
      </c>
      <c r="K16" s="44">
        <f>(G18*J16*I16*N12)</f>
        <v>17.1</v>
      </c>
      <c r="L16" s="44">
        <f>1+(L14-1)*(1-E20/500)</f>
        <v>1.396</v>
      </c>
      <c r="M16" s="44">
        <f>M14+((1-M14)*0.5*E20/400)</f>
        <v>0.6521875</v>
      </c>
      <c r="N16" s="44">
        <f>(E19+(Q16*N14))/1.3</f>
        <v>25.88461538</v>
      </c>
      <c r="O16" s="44">
        <f t="shared" ref="O16:P16" si="5">(D19+(P16*O14))/1.3</f>
        <v>26.92307692</v>
      </c>
      <c r="P16" s="44">
        <f t="shared" si="5"/>
        <v>27.96153846</v>
      </c>
      <c r="Q16" s="30">
        <f>3*(E18/100)</f>
        <v>0.9</v>
      </c>
      <c r="R16" s="44">
        <f>E18*1*(VLOOKUP(B16,SPIN!$M$27:$N$40,2,FALSE))</f>
        <v>1500</v>
      </c>
      <c r="S16" s="30">
        <f>E18*2*3.14/60</f>
        <v>3.14</v>
      </c>
      <c r="T16" s="45">
        <f t="shared" ref="T16:V16" si="6">$S16*T14*8</f>
        <v>2.512</v>
      </c>
      <c r="U16" s="45">
        <f t="shared" si="6"/>
        <v>33.4096</v>
      </c>
      <c r="V16" s="46">
        <f t="shared" si="6"/>
        <v>-30.8976</v>
      </c>
    </row>
    <row r="17">
      <c r="A17" s="9"/>
      <c r="B17" s="47"/>
      <c r="C17" s="40" t="s">
        <v>54</v>
      </c>
      <c r="D17" s="21">
        <v>145.0</v>
      </c>
      <c r="E17" s="41">
        <f t="shared" si="7"/>
        <v>145</v>
      </c>
      <c r="F17" s="42"/>
      <c r="G17" s="30" t="s">
        <v>55</v>
      </c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7"/>
      <c r="U17" s="27"/>
      <c r="V17" s="31"/>
    </row>
    <row r="18">
      <c r="A18" s="9"/>
      <c r="B18" s="47"/>
      <c r="C18" s="40" t="s">
        <v>57</v>
      </c>
      <c r="D18" s="21">
        <v>30.0</v>
      </c>
      <c r="E18" s="41">
        <f t="shared" si="7"/>
        <v>30</v>
      </c>
      <c r="F18" s="42"/>
      <c r="G18" s="30">
        <v>20.0</v>
      </c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7"/>
      <c r="U18" s="27"/>
      <c r="V18" s="31"/>
    </row>
    <row r="19">
      <c r="A19" s="9"/>
      <c r="B19" s="47"/>
      <c r="C19" s="40" t="s">
        <v>59</v>
      </c>
      <c r="D19" s="48">
        <v>35.0</v>
      </c>
      <c r="E19" s="41">
        <f t="shared" si="7"/>
        <v>35</v>
      </c>
      <c r="F19" s="49"/>
      <c r="G19" s="50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7"/>
      <c r="U19" s="27"/>
      <c r="V19" s="31"/>
    </row>
    <row r="20">
      <c r="A20" s="9"/>
      <c r="B20" s="47"/>
      <c r="C20" s="40" t="s">
        <v>61</v>
      </c>
      <c r="D20" s="59">
        <v>5.0</v>
      </c>
      <c r="E20" s="41">
        <f t="shared" si="7"/>
        <v>5</v>
      </c>
      <c r="F20" s="42"/>
      <c r="G20" s="50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7"/>
      <c r="U20" s="27"/>
      <c r="V20" s="31"/>
    </row>
    <row r="21">
      <c r="A21" s="9"/>
      <c r="B21" s="51"/>
      <c r="C21" s="52" t="s">
        <v>62</v>
      </c>
      <c r="D21" s="60">
        <v>100.0</v>
      </c>
      <c r="E21" s="54">
        <f t="shared" si="7"/>
        <v>100</v>
      </c>
      <c r="F21" s="61"/>
      <c r="G21" s="55"/>
      <c r="H21" s="56"/>
      <c r="I21" s="56"/>
      <c r="J21" s="56"/>
      <c r="K21" s="56"/>
      <c r="L21" s="56"/>
      <c r="M21" s="56"/>
      <c r="N21" s="56"/>
      <c r="O21" s="56"/>
      <c r="P21" s="56"/>
      <c r="Q21" s="56"/>
      <c r="R21" s="56"/>
      <c r="S21" s="56"/>
      <c r="T21" s="57"/>
      <c r="U21" s="57"/>
      <c r="V21" s="58"/>
    </row>
    <row r="22">
      <c r="A22" s="9"/>
      <c r="B22" s="10"/>
      <c r="C22" s="11"/>
      <c r="D22" s="11"/>
      <c r="E22" s="11"/>
      <c r="F22" s="12"/>
      <c r="G22" s="13"/>
      <c r="H22" s="14" t="s">
        <v>27</v>
      </c>
      <c r="I22" s="14"/>
      <c r="J22" s="14"/>
      <c r="K22" s="14" t="s">
        <v>28</v>
      </c>
      <c r="L22" s="16">
        <f>RANDBETWEEN(0,3)</f>
        <v>2</v>
      </c>
      <c r="M22" s="14" t="s">
        <v>29</v>
      </c>
      <c r="N22" s="15">
        <v>1.0</v>
      </c>
      <c r="O22" s="16"/>
      <c r="P22" s="16"/>
      <c r="Q22" s="16"/>
      <c r="R22" s="16"/>
      <c r="S22" s="16"/>
      <c r="T22" s="17"/>
      <c r="U22" s="17"/>
      <c r="V22" s="18"/>
    </row>
    <row r="23">
      <c r="A23" s="9"/>
      <c r="B23" s="19"/>
      <c r="C23" s="20"/>
      <c r="D23" s="20"/>
      <c r="E23" s="20"/>
      <c r="F23" s="21"/>
      <c r="G23" s="22"/>
      <c r="H23" s="23"/>
      <c r="I23" s="23"/>
      <c r="J23" s="23"/>
      <c r="K23" s="23"/>
      <c r="L23" s="24" t="s">
        <v>33</v>
      </c>
      <c r="M23" s="24" t="s">
        <v>33</v>
      </c>
      <c r="N23" s="25"/>
      <c r="O23" s="25"/>
      <c r="P23" s="25"/>
      <c r="Q23" s="25"/>
      <c r="R23" s="25"/>
      <c r="S23" s="25"/>
      <c r="T23" s="26"/>
      <c r="U23" s="27" t="s">
        <v>34</v>
      </c>
      <c r="V23" s="28"/>
    </row>
    <row r="24">
      <c r="A24" s="9"/>
      <c r="B24" s="19"/>
      <c r="C24" s="20"/>
      <c r="D24" s="20"/>
      <c r="E24" s="20"/>
      <c r="F24" s="29" t="s">
        <v>31</v>
      </c>
      <c r="G24" s="30"/>
      <c r="H24" s="23"/>
      <c r="I24" s="23"/>
      <c r="J24" s="23"/>
      <c r="K24" s="23"/>
      <c r="L24" s="25">
        <f>VLOOKUP(L23,RECOVERY!$AA$8:$AP$10,4,FALSE)</f>
        <v>1.4</v>
      </c>
      <c r="M24" s="25">
        <f>VLOOKUP(M23,RECOVERY!$AA$27:$AP$29,4,FALSE)</f>
        <v>0.65</v>
      </c>
      <c r="N24" s="23">
        <v>-1.5</v>
      </c>
      <c r="O24" s="23">
        <v>0.0</v>
      </c>
      <c r="P24" s="23">
        <v>1.5</v>
      </c>
      <c r="Q24" s="25"/>
      <c r="R24" s="23" t="s">
        <v>35</v>
      </c>
      <c r="S24" s="25"/>
      <c r="T24" s="27">
        <v>0.1</v>
      </c>
      <c r="U24" s="27">
        <v>1.33</v>
      </c>
      <c r="V24" s="31">
        <v>-1.23</v>
      </c>
    </row>
    <row r="25">
      <c r="A25" s="9"/>
      <c r="B25" s="32" t="s">
        <v>6</v>
      </c>
      <c r="C25" s="33"/>
      <c r="D25" s="21" t="s">
        <v>36</v>
      </c>
      <c r="E25" s="34" t="s">
        <v>37</v>
      </c>
      <c r="F25" s="29" t="str">
        <f>SUM(F26:F31)&amp;"/25"</f>
        <v>0/25</v>
      </c>
      <c r="G25" s="30" t="s">
        <v>38</v>
      </c>
      <c r="H25" s="36" t="s">
        <v>39</v>
      </c>
      <c r="I25" s="36" t="s">
        <v>40</v>
      </c>
      <c r="J25" s="36" t="s">
        <v>41</v>
      </c>
      <c r="K25" s="36" t="s">
        <v>42</v>
      </c>
      <c r="L25" s="36" t="s">
        <v>43</v>
      </c>
      <c r="M25" s="36" t="s">
        <v>44</v>
      </c>
      <c r="N25" s="36" t="s">
        <v>45</v>
      </c>
      <c r="O25" s="36" t="s">
        <v>46</v>
      </c>
      <c r="P25" s="36" t="s">
        <v>47</v>
      </c>
      <c r="Q25" s="30" t="s">
        <v>48</v>
      </c>
      <c r="R25" s="36" t="s">
        <v>49</v>
      </c>
      <c r="S25" s="30" t="s">
        <v>50</v>
      </c>
      <c r="T25" s="37" t="s">
        <v>51</v>
      </c>
      <c r="U25" s="37" t="s">
        <v>45</v>
      </c>
      <c r="V25" s="38" t="s">
        <v>47</v>
      </c>
    </row>
    <row r="26">
      <c r="A26" s="9"/>
      <c r="B26" s="39" t="s">
        <v>14</v>
      </c>
      <c r="C26" s="40" t="s">
        <v>52</v>
      </c>
      <c r="D26" s="21">
        <v>75.0</v>
      </c>
      <c r="E26" s="41">
        <f t="shared" ref="E26:E31" si="10">D26+F26</f>
        <v>75</v>
      </c>
      <c r="F26" s="42"/>
      <c r="G26" s="30">
        <v>30.0</v>
      </c>
      <c r="H26" s="62">
        <f>$G$6+(E26/2)+$AB$6+(Z26/2)+$L$2</f>
        <v>98.5</v>
      </c>
      <c r="I26" s="30">
        <f>1-(E27/1000)</f>
        <v>0.855</v>
      </c>
      <c r="J26" s="63">
        <f>ROUND(POWER(E26/100,0.5),3)</f>
        <v>0.866</v>
      </c>
      <c r="K26" s="62">
        <f>(G28*J26*I26*N22)</f>
        <v>14.8086</v>
      </c>
      <c r="L26" s="62">
        <f>1+(L24-1)*(1-E30/500)</f>
        <v>1.396</v>
      </c>
      <c r="M26" s="44">
        <f>M24+((1-M24)*0.5*E30/400)</f>
        <v>0.6521875</v>
      </c>
      <c r="N26" s="44">
        <f>(E29+(Q26*N24))/1.3</f>
        <v>25.88461538</v>
      </c>
      <c r="O26" s="44">
        <f t="shared" ref="O26:P26" si="8">(D29+(P26*O24))/1.3</f>
        <v>26.92307692</v>
      </c>
      <c r="P26" s="44">
        <f t="shared" si="8"/>
        <v>27.96153846</v>
      </c>
      <c r="Q26" s="63">
        <f>3*(E28/100)</f>
        <v>0.9</v>
      </c>
      <c r="R26" s="62">
        <f>E28*1*(VLOOKUP(B26,SPIN!$M$27:$N$40,2,FALSE))</f>
        <v>1500</v>
      </c>
      <c r="S26" s="30">
        <f>E28*2*3.14/60</f>
        <v>3.14</v>
      </c>
      <c r="T26" s="45">
        <f t="shared" ref="T26:V26" si="9">$S26*T24*8</f>
        <v>2.512</v>
      </c>
      <c r="U26" s="45">
        <f t="shared" si="9"/>
        <v>33.4096</v>
      </c>
      <c r="V26" s="46">
        <f t="shared" si="9"/>
        <v>-30.8976</v>
      </c>
    </row>
    <row r="27">
      <c r="A27" s="9"/>
      <c r="B27" s="47"/>
      <c r="C27" s="40" t="s">
        <v>54</v>
      </c>
      <c r="D27" s="21">
        <v>145.0</v>
      </c>
      <c r="E27" s="41">
        <f t="shared" si="10"/>
        <v>145</v>
      </c>
      <c r="F27" s="42"/>
      <c r="G27" s="30" t="s">
        <v>55</v>
      </c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7"/>
      <c r="U27" s="27"/>
      <c r="V27" s="31"/>
    </row>
    <row r="28">
      <c r="A28" s="9"/>
      <c r="B28" s="47"/>
      <c r="C28" s="40" t="s">
        <v>57</v>
      </c>
      <c r="D28" s="21">
        <v>30.0</v>
      </c>
      <c r="E28" s="41">
        <f t="shared" si="10"/>
        <v>30</v>
      </c>
      <c r="F28" s="42"/>
      <c r="G28" s="30">
        <v>20.0</v>
      </c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7"/>
      <c r="U28" s="27"/>
      <c r="V28" s="31"/>
    </row>
    <row r="29">
      <c r="A29" s="9"/>
      <c r="B29" s="47"/>
      <c r="C29" s="40" t="s">
        <v>59</v>
      </c>
      <c r="D29" s="48">
        <v>35.0</v>
      </c>
      <c r="E29" s="41">
        <f t="shared" si="10"/>
        <v>35</v>
      </c>
      <c r="F29" s="49"/>
      <c r="G29" s="50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7"/>
      <c r="U29" s="27"/>
      <c r="V29" s="31"/>
    </row>
    <row r="30">
      <c r="A30" s="9"/>
      <c r="B30" s="47"/>
      <c r="C30" s="40" t="s">
        <v>61</v>
      </c>
      <c r="D30" s="59">
        <v>5.0</v>
      </c>
      <c r="E30" s="41">
        <f t="shared" si="10"/>
        <v>5</v>
      </c>
      <c r="F30" s="42"/>
      <c r="G30" s="50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7"/>
      <c r="U30" s="27"/>
      <c r="V30" s="31"/>
    </row>
    <row r="31">
      <c r="A31" s="9"/>
      <c r="B31" s="51"/>
      <c r="C31" s="52" t="s">
        <v>62</v>
      </c>
      <c r="D31" s="60">
        <v>100.0</v>
      </c>
      <c r="E31" s="54">
        <f t="shared" si="10"/>
        <v>100</v>
      </c>
      <c r="F31" s="61"/>
      <c r="G31" s="55"/>
      <c r="H31" s="56"/>
      <c r="I31" s="56"/>
      <c r="J31" s="56"/>
      <c r="K31" s="56"/>
      <c r="L31" s="56"/>
      <c r="M31" s="56"/>
      <c r="N31" s="56"/>
      <c r="O31" s="56"/>
      <c r="P31" s="56"/>
      <c r="Q31" s="56"/>
      <c r="R31" s="56"/>
      <c r="S31" s="56"/>
      <c r="T31" s="57"/>
      <c r="U31" s="57"/>
      <c r="V31" s="58"/>
    </row>
    <row r="32">
      <c r="A32" s="9"/>
      <c r="B32" s="64"/>
      <c r="C32" s="65"/>
      <c r="D32" s="66"/>
      <c r="E32" s="66"/>
      <c r="F32" s="67"/>
      <c r="G32" s="13"/>
      <c r="H32" s="68" t="s">
        <v>27</v>
      </c>
      <c r="I32" s="14"/>
      <c r="J32" s="68"/>
      <c r="K32" s="68" t="s">
        <v>28</v>
      </c>
      <c r="L32" s="69">
        <f>RANDBETWEEN(0,3)</f>
        <v>0</v>
      </c>
      <c r="M32" s="68" t="s">
        <v>29</v>
      </c>
      <c r="N32" s="70">
        <v>1.0</v>
      </c>
      <c r="O32" s="68"/>
      <c r="P32" s="68"/>
      <c r="Q32" s="68"/>
      <c r="R32" s="68"/>
      <c r="S32" s="16"/>
      <c r="T32" s="17"/>
      <c r="U32" s="17"/>
      <c r="V32" s="18"/>
    </row>
    <row r="33">
      <c r="A33" s="9"/>
      <c r="B33" s="71"/>
      <c r="C33" s="72"/>
      <c r="D33" s="73"/>
      <c r="E33" s="73"/>
      <c r="F33" s="74"/>
      <c r="G33" s="22"/>
      <c r="H33" s="75"/>
      <c r="I33" s="23"/>
      <c r="J33" s="75"/>
      <c r="K33" s="75"/>
      <c r="L33" s="76" t="s">
        <v>33</v>
      </c>
      <c r="M33" s="76" t="s">
        <v>33</v>
      </c>
      <c r="N33" s="75"/>
      <c r="O33" s="75"/>
      <c r="P33" s="75"/>
      <c r="Q33" s="75"/>
      <c r="R33" s="75"/>
      <c r="S33" s="25"/>
      <c r="T33" s="26"/>
      <c r="U33" s="27" t="s">
        <v>34</v>
      </c>
      <c r="V33" s="28"/>
    </row>
    <row r="34">
      <c r="A34" s="9"/>
      <c r="B34" s="71"/>
      <c r="C34" s="72"/>
      <c r="D34" s="73"/>
      <c r="E34" s="73"/>
      <c r="F34" s="77" t="s">
        <v>31</v>
      </c>
      <c r="G34" s="30"/>
      <c r="H34" s="75"/>
      <c r="I34" s="23"/>
      <c r="J34" s="75"/>
      <c r="K34" s="75"/>
      <c r="L34" s="78">
        <f>VLOOKUP(L33,RECOVERY!$AA$8:$AP$10,5,FALSE)</f>
        <v>1.4</v>
      </c>
      <c r="M34" s="78">
        <f>VLOOKUP(M33,RECOVERY!$AA$27:$AP$29,5,FALSE)</f>
        <v>0.65</v>
      </c>
      <c r="N34" s="23">
        <v>-1.5</v>
      </c>
      <c r="O34" s="23">
        <v>0.0</v>
      </c>
      <c r="P34" s="23">
        <v>1.5</v>
      </c>
      <c r="Q34" s="75"/>
      <c r="R34" s="78" t="s">
        <v>35</v>
      </c>
      <c r="S34" s="25"/>
      <c r="T34" s="27">
        <v>0.1</v>
      </c>
      <c r="U34" s="27">
        <v>1.33</v>
      </c>
      <c r="V34" s="31">
        <v>-1.23</v>
      </c>
    </row>
    <row r="35">
      <c r="A35" s="9"/>
      <c r="B35" s="79" t="s">
        <v>6</v>
      </c>
      <c r="C35" s="80"/>
      <c r="D35" s="81" t="s">
        <v>36</v>
      </c>
      <c r="E35" s="82" t="s">
        <v>37</v>
      </c>
      <c r="F35" s="77" t="str">
        <f>SUM(F36:F41)&amp;"/25"</f>
        <v>0/25</v>
      </c>
      <c r="G35" s="30" t="s">
        <v>38</v>
      </c>
      <c r="H35" s="83" t="s">
        <v>39</v>
      </c>
      <c r="I35" s="36" t="s">
        <v>40</v>
      </c>
      <c r="J35" s="83" t="s">
        <v>41</v>
      </c>
      <c r="K35" s="83" t="s">
        <v>42</v>
      </c>
      <c r="L35" s="83" t="s">
        <v>43</v>
      </c>
      <c r="M35" s="83" t="s">
        <v>44</v>
      </c>
      <c r="N35" s="36" t="s">
        <v>45</v>
      </c>
      <c r="O35" s="36" t="s">
        <v>46</v>
      </c>
      <c r="P35" s="36" t="s">
        <v>47</v>
      </c>
      <c r="Q35" s="84" t="s">
        <v>48</v>
      </c>
      <c r="R35" s="36" t="s">
        <v>49</v>
      </c>
      <c r="S35" s="30" t="s">
        <v>50</v>
      </c>
      <c r="T35" s="37" t="s">
        <v>51</v>
      </c>
      <c r="U35" s="37" t="s">
        <v>45</v>
      </c>
      <c r="V35" s="38" t="s">
        <v>47</v>
      </c>
    </row>
    <row r="36">
      <c r="A36" s="9"/>
      <c r="B36" s="85" t="s">
        <v>15</v>
      </c>
      <c r="C36" s="86" t="s">
        <v>52</v>
      </c>
      <c r="D36" s="59">
        <v>75.0</v>
      </c>
      <c r="E36" s="87">
        <f t="shared" ref="E36:E41" si="13">D36+F36</f>
        <v>75</v>
      </c>
      <c r="F36" s="76"/>
      <c r="G36" s="30">
        <v>30.0</v>
      </c>
      <c r="H36" s="62">
        <f>$G$6+(E36/2)+$AB$6+(Z36/2)+$L$2</f>
        <v>98.5</v>
      </c>
      <c r="I36" s="30">
        <f>1-(E37/1000)</f>
        <v>0.87</v>
      </c>
      <c r="J36" s="88">
        <f>ROUND(POWER(E36/100,0.5),3)</f>
        <v>0.866</v>
      </c>
      <c r="K36" s="62">
        <f>(G38*J36*I36*N32)</f>
        <v>15.0684</v>
      </c>
      <c r="L36" s="62">
        <f>1+(L34-1)*(1-E40/500)</f>
        <v>1.396</v>
      </c>
      <c r="M36" s="44">
        <f>M34+((1-M34)*0.5*E40/400)</f>
        <v>0.6521875</v>
      </c>
      <c r="N36" s="44">
        <f>(E39+(Q36*N34))/1.3</f>
        <v>24.84615385</v>
      </c>
      <c r="O36" s="44">
        <f t="shared" ref="O36:P36" si="11">(D39+(P36*O34))/1.3</f>
        <v>26.92307692</v>
      </c>
      <c r="P36" s="44">
        <f t="shared" si="11"/>
        <v>29</v>
      </c>
      <c r="Q36" s="88">
        <f>3*(E38/100)</f>
        <v>1.8</v>
      </c>
      <c r="R36" s="62">
        <f>E38*1*(VLOOKUP(B36,SPIN!$M$27:$N$40,2,FALSE))</f>
        <v>3000</v>
      </c>
      <c r="S36" s="30">
        <f>E38*2*3.14/60</f>
        <v>6.28</v>
      </c>
      <c r="T36" s="45">
        <f t="shared" ref="T36:V36" si="12">$S36*T34*8</f>
        <v>5.024</v>
      </c>
      <c r="U36" s="45">
        <f t="shared" si="12"/>
        <v>66.8192</v>
      </c>
      <c r="V36" s="46">
        <f t="shared" si="12"/>
        <v>-61.7952</v>
      </c>
    </row>
    <row r="37">
      <c r="A37" s="9"/>
      <c r="B37" s="89"/>
      <c r="C37" s="86" t="s">
        <v>54</v>
      </c>
      <c r="D37" s="21">
        <v>130.0</v>
      </c>
      <c r="E37" s="87">
        <f t="shared" si="13"/>
        <v>130</v>
      </c>
      <c r="F37" s="76"/>
      <c r="G37" s="30" t="s">
        <v>55</v>
      </c>
      <c r="H37" s="75"/>
      <c r="I37" s="23"/>
      <c r="J37" s="75"/>
      <c r="K37" s="75"/>
      <c r="L37" s="75"/>
      <c r="M37" s="75"/>
      <c r="N37" s="75"/>
      <c r="O37" s="75"/>
      <c r="P37" s="75"/>
      <c r="Q37" s="75"/>
      <c r="R37" s="75"/>
      <c r="S37" s="23"/>
      <c r="T37" s="27"/>
      <c r="U37" s="27"/>
      <c r="V37" s="31"/>
    </row>
    <row r="38">
      <c r="A38" s="9"/>
      <c r="B38" s="89"/>
      <c r="C38" s="86" t="s">
        <v>57</v>
      </c>
      <c r="D38" s="21">
        <v>60.0</v>
      </c>
      <c r="E38" s="87">
        <f t="shared" si="13"/>
        <v>60</v>
      </c>
      <c r="F38" s="76"/>
      <c r="G38" s="30">
        <v>20.0</v>
      </c>
      <c r="H38" s="75"/>
      <c r="I38" s="23"/>
      <c r="J38" s="75"/>
      <c r="K38" s="75"/>
      <c r="L38" s="75"/>
      <c r="M38" s="75"/>
      <c r="N38" s="75"/>
      <c r="O38" s="75"/>
      <c r="P38" s="75"/>
      <c r="Q38" s="75"/>
      <c r="R38" s="75"/>
      <c r="S38" s="23"/>
      <c r="T38" s="27"/>
      <c r="U38" s="27"/>
      <c r="V38" s="31"/>
    </row>
    <row r="39">
      <c r="A39" s="9"/>
      <c r="B39" s="89"/>
      <c r="C39" s="86" t="s">
        <v>59</v>
      </c>
      <c r="D39" s="59">
        <v>35.0</v>
      </c>
      <c r="E39" s="87">
        <f t="shared" si="13"/>
        <v>35</v>
      </c>
      <c r="F39" s="49"/>
      <c r="G39" s="50"/>
      <c r="H39" s="75"/>
      <c r="I39" s="23"/>
      <c r="J39" s="75"/>
      <c r="K39" s="75"/>
      <c r="L39" s="75"/>
      <c r="M39" s="75"/>
      <c r="N39" s="75"/>
      <c r="O39" s="75"/>
      <c r="P39" s="75"/>
      <c r="Q39" s="75"/>
      <c r="R39" s="75"/>
      <c r="S39" s="23"/>
      <c r="T39" s="27"/>
      <c r="U39" s="27"/>
      <c r="V39" s="31"/>
    </row>
    <row r="40">
      <c r="A40" s="9"/>
      <c r="B40" s="89"/>
      <c r="C40" s="86" t="s">
        <v>61</v>
      </c>
      <c r="D40" s="59">
        <v>5.0</v>
      </c>
      <c r="E40" s="87">
        <f t="shared" si="13"/>
        <v>5</v>
      </c>
      <c r="F40" s="76"/>
      <c r="G40" s="50"/>
      <c r="H40" s="75"/>
      <c r="I40" s="23"/>
      <c r="J40" s="75"/>
      <c r="K40" s="75"/>
      <c r="L40" s="75"/>
      <c r="M40" s="75"/>
      <c r="N40" s="75"/>
      <c r="O40" s="75"/>
      <c r="P40" s="75"/>
      <c r="Q40" s="75"/>
      <c r="R40" s="75"/>
      <c r="S40" s="23"/>
      <c r="T40" s="27"/>
      <c r="U40" s="27"/>
      <c r="V40" s="31"/>
    </row>
    <row r="41">
      <c r="A41" s="9"/>
      <c r="B41" s="90"/>
      <c r="C41" s="91" t="s">
        <v>62</v>
      </c>
      <c r="D41" s="60">
        <v>100.0</v>
      </c>
      <c r="E41" s="92">
        <f t="shared" si="13"/>
        <v>100</v>
      </c>
      <c r="F41" s="61"/>
      <c r="G41" s="55"/>
      <c r="H41" s="93"/>
      <c r="I41" s="56"/>
      <c r="J41" s="93"/>
      <c r="K41" s="93"/>
      <c r="L41" s="93"/>
      <c r="M41" s="93"/>
      <c r="N41" s="93"/>
      <c r="O41" s="93"/>
      <c r="P41" s="93"/>
      <c r="Q41" s="93"/>
      <c r="R41" s="93"/>
      <c r="S41" s="56"/>
      <c r="T41" s="57"/>
      <c r="U41" s="57"/>
      <c r="V41" s="58"/>
    </row>
    <row r="42">
      <c r="A42" s="9"/>
      <c r="B42" s="64"/>
      <c r="C42" s="65"/>
      <c r="D42" s="66"/>
      <c r="E42" s="66"/>
      <c r="F42" s="67"/>
      <c r="G42" s="13"/>
      <c r="H42" s="68" t="s">
        <v>27</v>
      </c>
      <c r="I42" s="14"/>
      <c r="J42" s="68"/>
      <c r="K42" s="68" t="s">
        <v>28</v>
      </c>
      <c r="L42" s="69">
        <f>RANDBETWEEN(0,3)</f>
        <v>2</v>
      </c>
      <c r="M42" s="68" t="s">
        <v>29</v>
      </c>
      <c r="N42" s="70">
        <v>1.0</v>
      </c>
      <c r="O42" s="68"/>
      <c r="P42" s="68"/>
      <c r="Q42" s="68"/>
      <c r="R42" s="68"/>
      <c r="S42" s="16"/>
      <c r="T42" s="17"/>
      <c r="U42" s="17"/>
      <c r="V42" s="18"/>
    </row>
    <row r="43">
      <c r="A43" s="9"/>
      <c r="B43" s="71"/>
      <c r="C43" s="72"/>
      <c r="D43" s="73"/>
      <c r="E43" s="73"/>
      <c r="F43" s="74"/>
      <c r="G43" s="22"/>
      <c r="H43" s="75"/>
      <c r="I43" s="23"/>
      <c r="J43" s="75"/>
      <c r="K43" s="75"/>
      <c r="L43" s="76" t="s">
        <v>33</v>
      </c>
      <c r="M43" s="76" t="s">
        <v>33</v>
      </c>
      <c r="N43" s="75"/>
      <c r="O43" s="75"/>
      <c r="P43" s="75"/>
      <c r="Q43" s="75"/>
      <c r="R43" s="75"/>
      <c r="S43" s="25"/>
      <c r="T43" s="26"/>
      <c r="U43" s="27" t="s">
        <v>34</v>
      </c>
      <c r="V43" s="28"/>
    </row>
    <row r="44">
      <c r="A44" s="9"/>
      <c r="B44" s="71"/>
      <c r="C44" s="72"/>
      <c r="D44" s="73"/>
      <c r="E44" s="73"/>
      <c r="F44" s="77" t="s">
        <v>31</v>
      </c>
      <c r="G44" s="30"/>
      <c r="H44" s="75"/>
      <c r="I44" s="23"/>
      <c r="J44" s="75"/>
      <c r="K44" s="75"/>
      <c r="L44" s="78">
        <f>VLOOKUP(L43,RECOVERY!$AA$8:$AP$10,6,FALSE)</f>
        <v>1.3</v>
      </c>
      <c r="M44" s="78">
        <f>VLOOKUP(M43,RECOVERY!$AA$27:$AP$29,6,FALSE)</f>
        <v>0.65</v>
      </c>
      <c r="N44" s="23">
        <v>-1.5</v>
      </c>
      <c r="O44" s="23">
        <v>0.0</v>
      </c>
      <c r="P44" s="23">
        <v>1.5</v>
      </c>
      <c r="Q44" s="75"/>
      <c r="R44" s="78" t="s">
        <v>35</v>
      </c>
      <c r="S44" s="25"/>
      <c r="T44" s="27">
        <v>0.1</v>
      </c>
      <c r="U44" s="27">
        <v>1.33</v>
      </c>
      <c r="V44" s="31">
        <v>-1.23</v>
      </c>
    </row>
    <row r="45">
      <c r="A45" s="9"/>
      <c r="B45" s="79" t="s">
        <v>6</v>
      </c>
      <c r="C45" s="80"/>
      <c r="D45" s="81" t="s">
        <v>36</v>
      </c>
      <c r="E45" s="82" t="s">
        <v>37</v>
      </c>
      <c r="F45" s="77" t="str">
        <f>SUM(F46:F51)&amp;"/25"</f>
        <v>0/25</v>
      </c>
      <c r="G45" s="30" t="s">
        <v>38</v>
      </c>
      <c r="H45" s="83" t="s">
        <v>39</v>
      </c>
      <c r="I45" s="36" t="s">
        <v>40</v>
      </c>
      <c r="J45" s="83" t="s">
        <v>41</v>
      </c>
      <c r="K45" s="83" t="s">
        <v>42</v>
      </c>
      <c r="L45" s="83" t="s">
        <v>43</v>
      </c>
      <c r="M45" s="83" t="s">
        <v>44</v>
      </c>
      <c r="N45" s="36" t="s">
        <v>45</v>
      </c>
      <c r="O45" s="36" t="s">
        <v>46</v>
      </c>
      <c r="P45" s="36" t="s">
        <v>47</v>
      </c>
      <c r="Q45" s="84" t="s">
        <v>48</v>
      </c>
      <c r="R45" s="36" t="s">
        <v>49</v>
      </c>
      <c r="S45" s="30" t="s">
        <v>50</v>
      </c>
      <c r="T45" s="37" t="s">
        <v>51</v>
      </c>
      <c r="U45" s="37" t="s">
        <v>45</v>
      </c>
      <c r="V45" s="38" t="s">
        <v>47</v>
      </c>
    </row>
    <row r="46">
      <c r="A46" s="9"/>
      <c r="B46" s="85" t="s">
        <v>16</v>
      </c>
      <c r="C46" s="86" t="s">
        <v>52</v>
      </c>
      <c r="D46" s="59">
        <v>100.0</v>
      </c>
      <c r="E46" s="87">
        <f t="shared" ref="E46:E51" si="16">D46+F46</f>
        <v>100</v>
      </c>
      <c r="F46" s="76"/>
      <c r="G46" s="30">
        <v>30.0</v>
      </c>
      <c r="H46" s="62">
        <f>$G$6+(E46/2)+$AB$6+(Z46/2)+$L$2</f>
        <v>111</v>
      </c>
      <c r="I46" s="30">
        <f>1-(E47/1000)</f>
        <v>0.855</v>
      </c>
      <c r="J46" s="88">
        <f>ROUND(POWER(E46/100,0.5),3)</f>
        <v>1</v>
      </c>
      <c r="K46" s="62">
        <f>(G48*J46*I46*N42)</f>
        <v>17.1</v>
      </c>
      <c r="L46" s="62">
        <f>1+(L44-1)*(1-E50/500)</f>
        <v>1.294</v>
      </c>
      <c r="M46" s="44">
        <f>M44+((1-M44)*0.5*E50/400)</f>
        <v>0.654375</v>
      </c>
      <c r="N46" s="44">
        <f>(E49+(Q46*N44))/1.3</f>
        <v>25.36538462</v>
      </c>
      <c r="O46" s="44">
        <f t="shared" ref="O46:P46" si="14">(D49+(P46*O44))/1.3</f>
        <v>26.92307692</v>
      </c>
      <c r="P46" s="44">
        <f t="shared" si="14"/>
        <v>28.48076923</v>
      </c>
      <c r="Q46" s="88">
        <f>3*(E48/100)</f>
        <v>1.35</v>
      </c>
      <c r="R46" s="62">
        <f>E48*1*(VLOOKUP(B46,SPIN!$M$27:$N$40,2,FALSE))</f>
        <v>2700</v>
      </c>
      <c r="S46" s="30">
        <f>E48*2*3.14/60</f>
        <v>4.71</v>
      </c>
      <c r="T46" s="45">
        <f t="shared" ref="T46:V46" si="15">$S46*T44*8</f>
        <v>3.768</v>
      </c>
      <c r="U46" s="45">
        <f t="shared" si="15"/>
        <v>50.1144</v>
      </c>
      <c r="V46" s="46">
        <f t="shared" si="15"/>
        <v>-46.3464</v>
      </c>
    </row>
    <row r="47">
      <c r="A47" s="9"/>
      <c r="B47" s="89"/>
      <c r="C47" s="86" t="s">
        <v>54</v>
      </c>
      <c r="D47" s="21">
        <v>145.0</v>
      </c>
      <c r="E47" s="87">
        <f t="shared" si="16"/>
        <v>145</v>
      </c>
      <c r="F47" s="76"/>
      <c r="G47" s="30" t="s">
        <v>55</v>
      </c>
      <c r="H47" s="75"/>
      <c r="I47" s="23"/>
      <c r="J47" s="75"/>
      <c r="K47" s="75"/>
      <c r="L47" s="75"/>
      <c r="M47" s="75"/>
      <c r="N47" s="75"/>
      <c r="O47" s="75"/>
      <c r="P47" s="75"/>
      <c r="Q47" s="75"/>
      <c r="R47" s="75"/>
      <c r="S47" s="23"/>
      <c r="T47" s="27"/>
      <c r="U47" s="27"/>
      <c r="V47" s="31"/>
    </row>
    <row r="48">
      <c r="A48" s="9"/>
      <c r="B48" s="89"/>
      <c r="C48" s="86" t="s">
        <v>57</v>
      </c>
      <c r="D48" s="21">
        <v>45.0</v>
      </c>
      <c r="E48" s="87">
        <f t="shared" si="16"/>
        <v>45</v>
      </c>
      <c r="F48" s="76"/>
      <c r="G48" s="30">
        <v>20.0</v>
      </c>
      <c r="H48" s="75"/>
      <c r="I48" s="23"/>
      <c r="J48" s="75"/>
      <c r="K48" s="75"/>
      <c r="L48" s="75"/>
      <c r="M48" s="75"/>
      <c r="N48" s="75"/>
      <c r="O48" s="75"/>
      <c r="P48" s="75"/>
      <c r="Q48" s="75"/>
      <c r="R48" s="75"/>
      <c r="S48" s="23"/>
      <c r="T48" s="27"/>
      <c r="U48" s="27"/>
      <c r="V48" s="31"/>
    </row>
    <row r="49">
      <c r="A49" s="9"/>
      <c r="B49" s="89"/>
      <c r="C49" s="86" t="s">
        <v>59</v>
      </c>
      <c r="D49" s="59">
        <v>35.0</v>
      </c>
      <c r="E49" s="87">
        <f t="shared" si="16"/>
        <v>35</v>
      </c>
      <c r="F49" s="49"/>
      <c r="G49" s="50"/>
      <c r="H49" s="75"/>
      <c r="I49" s="23"/>
      <c r="J49" s="75"/>
      <c r="K49" s="75"/>
      <c r="L49" s="75"/>
      <c r="M49" s="75"/>
      <c r="N49" s="75"/>
      <c r="O49" s="75"/>
      <c r="P49" s="75"/>
      <c r="Q49" s="75"/>
      <c r="R49" s="75"/>
      <c r="S49" s="23"/>
      <c r="T49" s="27"/>
      <c r="U49" s="27"/>
      <c r="V49" s="31"/>
    </row>
    <row r="50">
      <c r="A50" s="9"/>
      <c r="B50" s="89"/>
      <c r="C50" s="86" t="s">
        <v>61</v>
      </c>
      <c r="D50" s="59">
        <v>10.0</v>
      </c>
      <c r="E50" s="87">
        <f t="shared" si="16"/>
        <v>10</v>
      </c>
      <c r="F50" s="76"/>
      <c r="G50" s="50"/>
      <c r="H50" s="75"/>
      <c r="I50" s="23"/>
      <c r="J50" s="75"/>
      <c r="K50" s="75"/>
      <c r="L50" s="75"/>
      <c r="M50" s="75"/>
      <c r="N50" s="75"/>
      <c r="O50" s="75"/>
      <c r="P50" s="75"/>
      <c r="Q50" s="75"/>
      <c r="R50" s="75"/>
      <c r="S50" s="23"/>
      <c r="T50" s="27"/>
      <c r="U50" s="27"/>
      <c r="V50" s="31"/>
    </row>
    <row r="51">
      <c r="A51" s="9"/>
      <c r="B51" s="90"/>
      <c r="C51" s="91" t="s">
        <v>62</v>
      </c>
      <c r="D51" s="60">
        <v>100.0</v>
      </c>
      <c r="E51" s="92">
        <f t="shared" si="16"/>
        <v>100</v>
      </c>
      <c r="F51" s="61"/>
      <c r="G51" s="55"/>
      <c r="H51" s="93"/>
      <c r="I51" s="56"/>
      <c r="J51" s="93"/>
      <c r="K51" s="93"/>
      <c r="L51" s="93"/>
      <c r="M51" s="93"/>
      <c r="N51" s="93"/>
      <c r="O51" s="93"/>
      <c r="P51" s="93"/>
      <c r="Q51" s="93"/>
      <c r="R51" s="93"/>
      <c r="S51" s="56"/>
      <c r="T51" s="57"/>
      <c r="U51" s="57"/>
      <c r="V51" s="58"/>
    </row>
    <row r="52">
      <c r="A52" s="9"/>
      <c r="B52" s="64"/>
      <c r="C52" s="65"/>
      <c r="D52" s="66"/>
      <c r="E52" s="66"/>
      <c r="F52" s="67"/>
      <c r="G52" s="13"/>
      <c r="H52" s="68" t="s">
        <v>27</v>
      </c>
      <c r="I52" s="14"/>
      <c r="J52" s="68"/>
      <c r="K52" s="68" t="s">
        <v>28</v>
      </c>
      <c r="L52" s="69">
        <f>RANDBETWEEN(0,3)</f>
        <v>3</v>
      </c>
      <c r="M52" s="68" t="s">
        <v>29</v>
      </c>
      <c r="N52" s="70">
        <v>1.0</v>
      </c>
      <c r="O52" s="68"/>
      <c r="P52" s="68"/>
      <c r="Q52" s="68"/>
      <c r="R52" s="68"/>
      <c r="S52" s="16"/>
      <c r="T52" s="17"/>
      <c r="U52" s="17"/>
      <c r="V52" s="18"/>
    </row>
    <row r="53">
      <c r="A53" s="9"/>
      <c r="B53" s="71"/>
      <c r="C53" s="72"/>
      <c r="D53" s="73"/>
      <c r="E53" s="73"/>
      <c r="F53" s="74"/>
      <c r="G53" s="22"/>
      <c r="H53" s="75"/>
      <c r="I53" s="23"/>
      <c r="J53" s="75"/>
      <c r="K53" s="75"/>
      <c r="L53" s="76" t="s">
        <v>33</v>
      </c>
      <c r="M53" s="76" t="s">
        <v>33</v>
      </c>
      <c r="N53" s="75"/>
      <c r="O53" s="75"/>
      <c r="P53" s="75"/>
      <c r="Q53" s="75"/>
      <c r="R53" s="75"/>
      <c r="S53" s="25"/>
      <c r="T53" s="26"/>
      <c r="U53" s="27" t="s">
        <v>34</v>
      </c>
      <c r="V53" s="28"/>
    </row>
    <row r="54">
      <c r="A54" s="9"/>
      <c r="B54" s="71"/>
      <c r="C54" s="72"/>
      <c r="D54" s="73"/>
      <c r="E54" s="73"/>
      <c r="F54" s="77" t="s">
        <v>31</v>
      </c>
      <c r="G54" s="30"/>
      <c r="H54" s="75"/>
      <c r="I54" s="23"/>
      <c r="J54" s="75"/>
      <c r="K54" s="75"/>
      <c r="L54" s="78">
        <f>VLOOKUP(L53,RECOVERY!$AA$8:$AP$10,7,FALSE)</f>
        <v>1.3</v>
      </c>
      <c r="M54" s="78">
        <f>VLOOKUP(M53,RECOVERY!$AA$27:$AP$29,7,FALSE)</f>
        <v>0.65</v>
      </c>
      <c r="N54" s="23">
        <v>-1.5</v>
      </c>
      <c r="O54" s="23">
        <v>0.0</v>
      </c>
      <c r="P54" s="23">
        <v>1.5</v>
      </c>
      <c r="Q54" s="75"/>
      <c r="R54" s="78" t="s">
        <v>35</v>
      </c>
      <c r="S54" s="25"/>
      <c r="T54" s="27">
        <v>0.1</v>
      </c>
      <c r="U54" s="27">
        <v>1.33</v>
      </c>
      <c r="V54" s="31">
        <v>-1.23</v>
      </c>
    </row>
    <row r="55">
      <c r="A55" s="9"/>
      <c r="B55" s="79" t="s">
        <v>6</v>
      </c>
      <c r="C55" s="80"/>
      <c r="D55" s="81" t="s">
        <v>36</v>
      </c>
      <c r="E55" s="82" t="s">
        <v>37</v>
      </c>
      <c r="F55" s="77" t="str">
        <f>SUM(F56:F61)&amp;"/25"</f>
        <v>0/25</v>
      </c>
      <c r="G55" s="30" t="s">
        <v>38</v>
      </c>
      <c r="H55" s="83" t="s">
        <v>39</v>
      </c>
      <c r="I55" s="36" t="s">
        <v>40</v>
      </c>
      <c r="J55" s="83" t="s">
        <v>41</v>
      </c>
      <c r="K55" s="83" t="s">
        <v>42</v>
      </c>
      <c r="L55" s="83" t="s">
        <v>43</v>
      </c>
      <c r="M55" s="83" t="s">
        <v>44</v>
      </c>
      <c r="N55" s="36" t="s">
        <v>45</v>
      </c>
      <c r="O55" s="36" t="s">
        <v>46</v>
      </c>
      <c r="P55" s="36" t="s">
        <v>47</v>
      </c>
      <c r="Q55" s="84" t="s">
        <v>48</v>
      </c>
      <c r="R55" s="36" t="s">
        <v>49</v>
      </c>
      <c r="S55" s="30" t="s">
        <v>50</v>
      </c>
      <c r="T55" s="37" t="s">
        <v>51</v>
      </c>
      <c r="U55" s="37" t="s">
        <v>45</v>
      </c>
      <c r="V55" s="38" t="s">
        <v>47</v>
      </c>
    </row>
    <row r="56">
      <c r="A56" s="9"/>
      <c r="B56" s="85" t="s">
        <v>17</v>
      </c>
      <c r="C56" s="86" t="s">
        <v>52</v>
      </c>
      <c r="D56" s="59">
        <v>80.0</v>
      </c>
      <c r="E56" s="87">
        <f t="shared" ref="E56:E61" si="19">D56+F56</f>
        <v>80</v>
      </c>
      <c r="F56" s="76"/>
      <c r="G56" s="30">
        <v>30.0</v>
      </c>
      <c r="H56" s="62">
        <f>$G$6+(E56/2)+$AB$6+(Z56/2)+$L$2</f>
        <v>101</v>
      </c>
      <c r="I56" s="30">
        <f>1-(E57/1000)</f>
        <v>0.84</v>
      </c>
      <c r="J56" s="88">
        <f>ROUND(POWER(E56/100,0.5),3)</f>
        <v>0.894</v>
      </c>
      <c r="K56" s="62">
        <f>(G58*J56*I56*N52)</f>
        <v>15.0192</v>
      </c>
      <c r="L56" s="62">
        <f>1+(L54-1)*(1-E60/500)</f>
        <v>1.294</v>
      </c>
      <c r="M56" s="44">
        <f>M54+((1-M54)*0.5*E60/400)</f>
        <v>0.654375</v>
      </c>
      <c r="N56" s="44">
        <f>(E59+(Q56*N54))/1.3</f>
        <v>25.36538462</v>
      </c>
      <c r="O56" s="44">
        <f t="shared" ref="O56:P56" si="17">(D59+(P56*O54))/1.3</f>
        <v>26.92307692</v>
      </c>
      <c r="P56" s="44">
        <f t="shared" si="17"/>
        <v>28.48076923</v>
      </c>
      <c r="Q56" s="88">
        <f>3*(E58/100)</f>
        <v>1.35</v>
      </c>
      <c r="R56" s="62">
        <f>E58*1*(VLOOKUP(B56,SPIN!$M$27:$N$40,2,FALSE))</f>
        <v>2700</v>
      </c>
      <c r="S56" s="30">
        <f>E58*2*3.14/60</f>
        <v>4.71</v>
      </c>
      <c r="T56" s="45">
        <f t="shared" ref="T56:V56" si="18">$S56*T54*8</f>
        <v>3.768</v>
      </c>
      <c r="U56" s="45">
        <f t="shared" si="18"/>
        <v>50.1144</v>
      </c>
      <c r="V56" s="46">
        <f t="shared" si="18"/>
        <v>-46.3464</v>
      </c>
    </row>
    <row r="57">
      <c r="A57" s="9"/>
      <c r="B57" s="89"/>
      <c r="C57" s="86" t="s">
        <v>54</v>
      </c>
      <c r="D57" s="21">
        <v>160.0</v>
      </c>
      <c r="E57" s="87">
        <f t="shared" si="19"/>
        <v>160</v>
      </c>
      <c r="F57" s="76"/>
      <c r="G57" s="30" t="s">
        <v>55</v>
      </c>
      <c r="H57" s="75"/>
      <c r="I57" s="23"/>
      <c r="J57" s="75"/>
      <c r="K57" s="75"/>
      <c r="L57" s="75"/>
      <c r="M57" s="75"/>
      <c r="N57" s="75"/>
      <c r="O57" s="75"/>
      <c r="P57" s="75"/>
      <c r="Q57" s="75"/>
      <c r="R57" s="75"/>
      <c r="S57" s="23"/>
      <c r="T57" s="27"/>
      <c r="U57" s="27"/>
      <c r="V57" s="31"/>
    </row>
    <row r="58">
      <c r="A58" s="9"/>
      <c r="B58" s="89"/>
      <c r="C58" s="86" t="s">
        <v>57</v>
      </c>
      <c r="D58" s="21">
        <v>45.0</v>
      </c>
      <c r="E58" s="87">
        <f t="shared" si="19"/>
        <v>45</v>
      </c>
      <c r="F58" s="76"/>
      <c r="G58" s="30">
        <v>20.0</v>
      </c>
      <c r="H58" s="75"/>
      <c r="I58" s="23"/>
      <c r="J58" s="75"/>
      <c r="K58" s="75"/>
      <c r="L58" s="75"/>
      <c r="M58" s="75"/>
      <c r="N58" s="75"/>
      <c r="O58" s="75"/>
      <c r="P58" s="75"/>
      <c r="Q58" s="75"/>
      <c r="R58" s="75"/>
      <c r="S58" s="23"/>
      <c r="T58" s="27"/>
      <c r="U58" s="27"/>
      <c r="V58" s="31"/>
    </row>
    <row r="59">
      <c r="A59" s="9"/>
      <c r="B59" s="89"/>
      <c r="C59" s="86" t="s">
        <v>59</v>
      </c>
      <c r="D59" s="59">
        <v>35.0</v>
      </c>
      <c r="E59" s="87">
        <f t="shared" si="19"/>
        <v>35</v>
      </c>
      <c r="F59" s="49"/>
      <c r="G59" s="50"/>
      <c r="H59" s="75"/>
      <c r="I59" s="23"/>
      <c r="J59" s="75"/>
      <c r="K59" s="75"/>
      <c r="L59" s="75"/>
      <c r="M59" s="75"/>
      <c r="N59" s="75"/>
      <c r="O59" s="75"/>
      <c r="P59" s="75"/>
      <c r="Q59" s="75"/>
      <c r="R59" s="75"/>
      <c r="S59" s="23"/>
      <c r="T59" s="27"/>
      <c r="U59" s="27"/>
      <c r="V59" s="31"/>
    </row>
    <row r="60">
      <c r="A60" s="9"/>
      <c r="B60" s="89"/>
      <c r="C60" s="86" t="s">
        <v>61</v>
      </c>
      <c r="D60" s="59">
        <v>10.0</v>
      </c>
      <c r="E60" s="87">
        <f t="shared" si="19"/>
        <v>10</v>
      </c>
      <c r="F60" s="76"/>
      <c r="G60" s="50"/>
      <c r="H60" s="75"/>
      <c r="I60" s="23"/>
      <c r="J60" s="75"/>
      <c r="K60" s="75"/>
      <c r="L60" s="75"/>
      <c r="M60" s="75"/>
      <c r="N60" s="75"/>
      <c r="O60" s="75"/>
      <c r="P60" s="75"/>
      <c r="Q60" s="75"/>
      <c r="R60" s="75"/>
      <c r="S60" s="23"/>
      <c r="T60" s="27"/>
      <c r="U60" s="27"/>
      <c r="V60" s="31"/>
    </row>
    <row r="61">
      <c r="A61" s="9"/>
      <c r="B61" s="90"/>
      <c r="C61" s="91" t="s">
        <v>62</v>
      </c>
      <c r="D61" s="60">
        <v>100.0</v>
      </c>
      <c r="E61" s="92">
        <f t="shared" si="19"/>
        <v>100</v>
      </c>
      <c r="F61" s="61"/>
      <c r="G61" s="55"/>
      <c r="H61" s="93"/>
      <c r="I61" s="56"/>
      <c r="J61" s="93"/>
      <c r="K61" s="93"/>
      <c r="L61" s="93"/>
      <c r="M61" s="93"/>
      <c r="N61" s="93"/>
      <c r="O61" s="93"/>
      <c r="P61" s="93"/>
      <c r="Q61" s="93"/>
      <c r="R61" s="93"/>
      <c r="S61" s="56"/>
      <c r="T61" s="57"/>
      <c r="U61" s="57"/>
      <c r="V61" s="58"/>
    </row>
    <row r="62">
      <c r="A62" s="9"/>
      <c r="B62" s="64"/>
      <c r="C62" s="65"/>
      <c r="D62" s="66"/>
      <c r="E62" s="66"/>
      <c r="F62" s="67"/>
      <c r="G62" s="13"/>
      <c r="H62" s="68" t="s">
        <v>27</v>
      </c>
      <c r="I62" s="14"/>
      <c r="J62" s="68"/>
      <c r="K62" s="68" t="s">
        <v>28</v>
      </c>
      <c r="L62" s="69">
        <f>RANDBETWEEN(0,3)</f>
        <v>2</v>
      </c>
      <c r="M62" s="68" t="s">
        <v>29</v>
      </c>
      <c r="N62" s="70">
        <v>1.0</v>
      </c>
      <c r="O62" s="68"/>
      <c r="P62" s="68"/>
      <c r="Q62" s="68"/>
      <c r="R62" s="68"/>
      <c r="S62" s="16"/>
      <c r="T62" s="17"/>
      <c r="U62" s="17"/>
      <c r="V62" s="18"/>
    </row>
    <row r="63">
      <c r="A63" s="9"/>
      <c r="B63" s="71"/>
      <c r="C63" s="72"/>
      <c r="D63" s="73"/>
      <c r="E63" s="73"/>
      <c r="F63" s="74"/>
      <c r="G63" s="22"/>
      <c r="H63" s="75"/>
      <c r="I63" s="23"/>
      <c r="J63" s="75"/>
      <c r="K63" s="75"/>
      <c r="L63" s="76" t="s">
        <v>33</v>
      </c>
      <c r="M63" s="76" t="s">
        <v>33</v>
      </c>
      <c r="N63" s="75"/>
      <c r="O63" s="75"/>
      <c r="P63" s="75"/>
      <c r="Q63" s="75"/>
      <c r="R63" s="75"/>
      <c r="S63" s="25"/>
      <c r="T63" s="26"/>
      <c r="U63" s="27" t="s">
        <v>34</v>
      </c>
      <c r="V63" s="28"/>
    </row>
    <row r="64">
      <c r="A64" s="9"/>
      <c r="B64" s="71"/>
      <c r="C64" s="72"/>
      <c r="D64" s="73"/>
      <c r="E64" s="73"/>
      <c r="F64" s="77" t="s">
        <v>31</v>
      </c>
      <c r="G64" s="30"/>
      <c r="H64" s="75"/>
      <c r="I64" s="23"/>
      <c r="J64" s="75"/>
      <c r="K64" s="75"/>
      <c r="L64" s="78">
        <f>VLOOKUP(L63,RECOVERY!$AA$8:$AP$10,8,FALSE)</f>
        <v>1.25</v>
      </c>
      <c r="M64" s="78">
        <f>VLOOKUP(M63,RECOVERY!$AA$27:$AP$29,8,FALSE)</f>
        <v>0.75</v>
      </c>
      <c r="N64" s="23">
        <v>-1.5</v>
      </c>
      <c r="O64" s="23">
        <v>0.0</v>
      </c>
      <c r="P64" s="23">
        <v>1.5</v>
      </c>
      <c r="Q64" s="75"/>
      <c r="R64" s="78" t="s">
        <v>35</v>
      </c>
      <c r="S64" s="25"/>
      <c r="T64" s="27">
        <v>0.1</v>
      </c>
      <c r="U64" s="27">
        <v>1.33</v>
      </c>
      <c r="V64" s="31">
        <v>-1.23</v>
      </c>
    </row>
    <row r="65">
      <c r="A65" s="9"/>
      <c r="B65" s="79" t="s">
        <v>6</v>
      </c>
      <c r="C65" s="80"/>
      <c r="D65" s="81" t="s">
        <v>36</v>
      </c>
      <c r="E65" s="82" t="s">
        <v>37</v>
      </c>
      <c r="F65" s="94" t="str">
        <f>SUM(F66:F71)&amp;"/25"</f>
        <v>0/25</v>
      </c>
      <c r="G65" s="30" t="s">
        <v>38</v>
      </c>
      <c r="H65" s="83" t="s">
        <v>39</v>
      </c>
      <c r="I65" s="36" t="s">
        <v>40</v>
      </c>
      <c r="J65" s="83" t="s">
        <v>41</v>
      </c>
      <c r="K65" s="83" t="s">
        <v>42</v>
      </c>
      <c r="L65" s="83" t="s">
        <v>43</v>
      </c>
      <c r="M65" s="83" t="s">
        <v>44</v>
      </c>
      <c r="N65" s="36" t="s">
        <v>45</v>
      </c>
      <c r="O65" s="36" t="s">
        <v>46</v>
      </c>
      <c r="P65" s="36" t="s">
        <v>47</v>
      </c>
      <c r="Q65" s="84" t="s">
        <v>48</v>
      </c>
      <c r="R65" s="36" t="s">
        <v>49</v>
      </c>
      <c r="S65" s="30" t="s">
        <v>50</v>
      </c>
      <c r="T65" s="37" t="s">
        <v>51</v>
      </c>
      <c r="U65" s="37" t="s">
        <v>45</v>
      </c>
      <c r="V65" s="38" t="s">
        <v>47</v>
      </c>
    </row>
    <row r="66">
      <c r="A66" s="9"/>
      <c r="B66" s="85" t="s">
        <v>18</v>
      </c>
      <c r="C66" s="86" t="s">
        <v>52</v>
      </c>
      <c r="D66" s="59">
        <v>55.0</v>
      </c>
      <c r="E66" s="87">
        <f t="shared" ref="E66:E71" si="22">D66+F66</f>
        <v>55</v>
      </c>
      <c r="F66" s="76"/>
      <c r="G66" s="30">
        <v>30.0</v>
      </c>
      <c r="H66" s="62">
        <f>$G$6+(E66/2)+$AB$6+(Z66/2)+$L$2</f>
        <v>88.5</v>
      </c>
      <c r="I66" s="30">
        <f>1-(E67/1000)</f>
        <v>0.825</v>
      </c>
      <c r="J66" s="88">
        <f>ROUND(POWER(E66/100,0.5),3)</f>
        <v>0.742</v>
      </c>
      <c r="K66" s="62">
        <f>(G68*J66*I66*N62)</f>
        <v>12.243</v>
      </c>
      <c r="L66" s="62">
        <f>1+(L64-1)*(1-E70/500)</f>
        <v>1.245</v>
      </c>
      <c r="M66" s="44">
        <f>M64+((1-M64)*0.5*E70/400)</f>
        <v>0.753125</v>
      </c>
      <c r="N66" s="44">
        <f>(E69+(Q66*N64))/1.3</f>
        <v>25.36538462</v>
      </c>
      <c r="O66" s="44">
        <f t="shared" ref="O66:P66" si="20">(D69+(P66*O64))/1.3</f>
        <v>26.92307692</v>
      </c>
      <c r="P66" s="44">
        <f t="shared" si="20"/>
        <v>28.48076923</v>
      </c>
      <c r="Q66" s="88">
        <f>3*(E68/100)</f>
        <v>1.35</v>
      </c>
      <c r="R66" s="62">
        <f>E68*1*(VLOOKUP(B66,SPIN!$M$27:$N$40,2,FALSE))</f>
        <v>3150</v>
      </c>
      <c r="S66" s="30">
        <f>E68*2*3.14/60</f>
        <v>4.71</v>
      </c>
      <c r="T66" s="45">
        <f t="shared" ref="T66:V66" si="21">$S66*T64*8</f>
        <v>3.768</v>
      </c>
      <c r="U66" s="45">
        <f t="shared" si="21"/>
        <v>50.1144</v>
      </c>
      <c r="V66" s="46">
        <f t="shared" si="21"/>
        <v>-46.3464</v>
      </c>
    </row>
    <row r="67">
      <c r="A67" s="9"/>
      <c r="B67" s="89"/>
      <c r="C67" s="86" t="s">
        <v>54</v>
      </c>
      <c r="D67" s="21">
        <v>175.0</v>
      </c>
      <c r="E67" s="87">
        <f t="shared" si="22"/>
        <v>175</v>
      </c>
      <c r="F67" s="76"/>
      <c r="G67" s="30" t="s">
        <v>55</v>
      </c>
      <c r="H67" s="75"/>
      <c r="I67" s="23"/>
      <c r="J67" s="75"/>
      <c r="K67" s="75"/>
      <c r="L67" s="75"/>
      <c r="M67" s="75"/>
      <c r="N67" s="75"/>
      <c r="O67" s="75"/>
      <c r="P67" s="75"/>
      <c r="Q67" s="75"/>
      <c r="R67" s="75"/>
      <c r="S67" s="23"/>
      <c r="T67" s="27"/>
      <c r="U67" s="27"/>
      <c r="V67" s="31"/>
    </row>
    <row r="68">
      <c r="A68" s="9"/>
      <c r="B68" s="89"/>
      <c r="C68" s="86" t="s">
        <v>57</v>
      </c>
      <c r="D68" s="21">
        <v>45.0</v>
      </c>
      <c r="E68" s="87">
        <f t="shared" si="22"/>
        <v>45</v>
      </c>
      <c r="F68" s="76"/>
      <c r="G68" s="30">
        <v>20.0</v>
      </c>
      <c r="H68" s="75"/>
      <c r="I68" s="23"/>
      <c r="J68" s="75"/>
      <c r="K68" s="75"/>
      <c r="L68" s="75"/>
      <c r="M68" s="75"/>
      <c r="N68" s="75"/>
      <c r="O68" s="75"/>
      <c r="P68" s="75"/>
      <c r="Q68" s="75"/>
      <c r="R68" s="75"/>
      <c r="S68" s="23"/>
      <c r="T68" s="27"/>
      <c r="U68" s="27"/>
      <c r="V68" s="31"/>
    </row>
    <row r="69">
      <c r="A69" s="9"/>
      <c r="B69" s="89"/>
      <c r="C69" s="86" t="s">
        <v>59</v>
      </c>
      <c r="D69" s="59">
        <v>35.0</v>
      </c>
      <c r="E69" s="87">
        <f t="shared" si="22"/>
        <v>35</v>
      </c>
      <c r="F69" s="49"/>
      <c r="G69" s="50"/>
      <c r="H69" s="75"/>
      <c r="I69" s="23"/>
      <c r="J69" s="75"/>
      <c r="K69" s="75"/>
      <c r="L69" s="75"/>
      <c r="M69" s="75"/>
      <c r="N69" s="75"/>
      <c r="O69" s="75"/>
      <c r="P69" s="75"/>
      <c r="Q69" s="75"/>
      <c r="R69" s="75"/>
      <c r="S69" s="23"/>
      <c r="T69" s="27"/>
      <c r="U69" s="27"/>
      <c r="V69" s="31"/>
    </row>
    <row r="70">
      <c r="A70" s="9"/>
      <c r="B70" s="89"/>
      <c r="C70" s="86" t="s">
        <v>61</v>
      </c>
      <c r="D70" s="59">
        <v>10.0</v>
      </c>
      <c r="E70" s="87">
        <f t="shared" si="22"/>
        <v>10</v>
      </c>
      <c r="F70" s="76"/>
      <c r="G70" s="50"/>
      <c r="H70" s="75"/>
      <c r="I70" s="23"/>
      <c r="J70" s="75"/>
      <c r="K70" s="75"/>
      <c r="L70" s="75"/>
      <c r="M70" s="75"/>
      <c r="N70" s="75"/>
      <c r="O70" s="75"/>
      <c r="P70" s="75"/>
      <c r="Q70" s="75"/>
      <c r="R70" s="75"/>
      <c r="S70" s="23"/>
      <c r="T70" s="27"/>
      <c r="U70" s="27"/>
      <c r="V70" s="31"/>
    </row>
    <row r="71">
      <c r="A71" s="9"/>
      <c r="B71" s="95"/>
      <c r="C71" s="91" t="s">
        <v>62</v>
      </c>
      <c r="D71" s="60">
        <v>100.0</v>
      </c>
      <c r="E71" s="92">
        <f t="shared" si="22"/>
        <v>100</v>
      </c>
      <c r="F71" s="61"/>
      <c r="G71" s="55"/>
      <c r="H71" s="93"/>
      <c r="I71" s="56"/>
      <c r="J71" s="93"/>
      <c r="K71" s="93"/>
      <c r="L71" s="93"/>
      <c r="M71" s="93"/>
      <c r="N71" s="93"/>
      <c r="O71" s="93"/>
      <c r="P71" s="93"/>
      <c r="Q71" s="93"/>
      <c r="R71" s="93"/>
      <c r="S71" s="56"/>
      <c r="T71" s="57"/>
      <c r="U71" s="57"/>
      <c r="V71" s="58"/>
    </row>
    <row r="72">
      <c r="A72" s="9"/>
      <c r="B72" s="64"/>
      <c r="C72" s="65"/>
      <c r="D72" s="66"/>
      <c r="E72" s="66"/>
      <c r="F72" s="96"/>
      <c r="G72" s="13"/>
      <c r="H72" s="68" t="s">
        <v>27</v>
      </c>
      <c r="I72" s="14"/>
      <c r="J72" s="68"/>
      <c r="K72" s="68" t="s">
        <v>28</v>
      </c>
      <c r="L72" s="69">
        <f>RANDBETWEEN(0,3)</f>
        <v>2</v>
      </c>
      <c r="M72" s="68" t="s">
        <v>29</v>
      </c>
      <c r="N72" s="70">
        <v>1.0</v>
      </c>
      <c r="O72" s="68"/>
      <c r="P72" s="68"/>
      <c r="Q72" s="68"/>
      <c r="R72" s="68"/>
      <c r="S72" s="16"/>
      <c r="T72" s="17"/>
      <c r="U72" s="17"/>
      <c r="V72" s="18"/>
    </row>
    <row r="73">
      <c r="A73" s="9"/>
      <c r="B73" s="71"/>
      <c r="C73" s="72"/>
      <c r="D73" s="73"/>
      <c r="E73" s="73"/>
      <c r="F73" s="81"/>
      <c r="G73" s="22"/>
      <c r="H73" s="75"/>
      <c r="I73" s="23"/>
      <c r="J73" s="75"/>
      <c r="K73" s="75"/>
      <c r="L73" s="76" t="s">
        <v>33</v>
      </c>
      <c r="M73" s="76" t="s">
        <v>33</v>
      </c>
      <c r="N73" s="75"/>
      <c r="O73" s="75"/>
      <c r="P73" s="75"/>
      <c r="Q73" s="75"/>
      <c r="R73" s="75"/>
      <c r="S73" s="25"/>
      <c r="T73" s="26"/>
      <c r="U73" s="27" t="s">
        <v>34</v>
      </c>
      <c r="V73" s="28"/>
    </row>
    <row r="74">
      <c r="A74" s="9"/>
      <c r="B74" s="71"/>
      <c r="C74" s="72"/>
      <c r="D74" s="73"/>
      <c r="E74" s="73"/>
      <c r="F74" s="94" t="s">
        <v>31</v>
      </c>
      <c r="G74" s="30"/>
      <c r="H74" s="75"/>
      <c r="I74" s="23"/>
      <c r="J74" s="75"/>
      <c r="K74" s="75"/>
      <c r="L74" s="78">
        <f>VLOOKUP(L73,RECOVERY!$AA$8:$AP$10,9,FALSE)</f>
        <v>1.25</v>
      </c>
      <c r="M74" s="78">
        <f>VLOOKUP(M73,RECOVERY!$AA$27:$AP$29,9,FALSE)</f>
        <v>0.75</v>
      </c>
      <c r="N74" s="23">
        <v>-1.5</v>
      </c>
      <c r="O74" s="23">
        <v>0.0</v>
      </c>
      <c r="P74" s="23">
        <v>1.5</v>
      </c>
      <c r="Q74" s="75"/>
      <c r="R74" s="78" t="s">
        <v>35</v>
      </c>
      <c r="S74" s="25"/>
      <c r="T74" s="27">
        <v>0.1</v>
      </c>
      <c r="U74" s="27">
        <v>1.33</v>
      </c>
      <c r="V74" s="31">
        <v>-1.23</v>
      </c>
    </row>
    <row r="75">
      <c r="A75" s="9"/>
      <c r="B75" s="79" t="s">
        <v>6</v>
      </c>
      <c r="C75" s="80"/>
      <c r="D75" s="81" t="s">
        <v>36</v>
      </c>
      <c r="E75" s="82" t="s">
        <v>37</v>
      </c>
      <c r="F75" s="94" t="str">
        <f>SUM(F76:F81)&amp;"/25"</f>
        <v>0/25</v>
      </c>
      <c r="G75" s="30" t="s">
        <v>38</v>
      </c>
      <c r="H75" s="83" t="s">
        <v>39</v>
      </c>
      <c r="I75" s="36" t="s">
        <v>40</v>
      </c>
      <c r="J75" s="83" t="s">
        <v>41</v>
      </c>
      <c r="K75" s="83" t="s">
        <v>42</v>
      </c>
      <c r="L75" s="83" t="s">
        <v>43</v>
      </c>
      <c r="M75" s="83" t="s">
        <v>44</v>
      </c>
      <c r="N75" s="36" t="s">
        <v>45</v>
      </c>
      <c r="O75" s="36" t="s">
        <v>46</v>
      </c>
      <c r="P75" s="36" t="s">
        <v>47</v>
      </c>
      <c r="Q75" s="84" t="s">
        <v>48</v>
      </c>
      <c r="R75" s="36" t="s">
        <v>49</v>
      </c>
      <c r="S75" s="30" t="s">
        <v>50</v>
      </c>
      <c r="T75" s="37" t="s">
        <v>51</v>
      </c>
      <c r="U75" s="37" t="s">
        <v>45</v>
      </c>
      <c r="V75" s="38" t="s">
        <v>47</v>
      </c>
    </row>
    <row r="76">
      <c r="A76" s="9"/>
      <c r="B76" s="85" t="s">
        <v>19</v>
      </c>
      <c r="C76" s="86" t="s">
        <v>52</v>
      </c>
      <c r="D76" s="59">
        <v>45.0</v>
      </c>
      <c r="E76" s="87">
        <f t="shared" ref="E76:E81" si="25">D76+F76</f>
        <v>45</v>
      </c>
      <c r="F76" s="76"/>
      <c r="G76" s="30">
        <v>30.0</v>
      </c>
      <c r="H76" s="62">
        <f>$G$6+(E76/2)+$AB$6+(Z76/2)+$L$2</f>
        <v>83.5</v>
      </c>
      <c r="I76" s="30">
        <f>1-(E77/1000)</f>
        <v>0.83</v>
      </c>
      <c r="J76" s="88">
        <f>ROUND(POWER(E76/100,0.5),3)</f>
        <v>0.671</v>
      </c>
      <c r="K76" s="62">
        <f>(G78*J76*I76*N72)</f>
        <v>11.1386</v>
      </c>
      <c r="L76" s="62">
        <f>1+(L74-1)*(1-E80/500)</f>
        <v>1.2425</v>
      </c>
      <c r="M76" s="44">
        <f>M74+((1-M74)*0.5*E80/400)</f>
        <v>0.7546875</v>
      </c>
      <c r="N76" s="44">
        <f>(E79+(Q76*N74))/1.3</f>
        <v>24.67307692</v>
      </c>
      <c r="O76" s="44">
        <f t="shared" ref="O76:P76" si="23">(D79+(P76*O74))/1.3</f>
        <v>26.92307692</v>
      </c>
      <c r="P76" s="44">
        <f t="shared" si="23"/>
        <v>29.17307692</v>
      </c>
      <c r="Q76" s="88">
        <f>3*(E78/100)</f>
        <v>1.95</v>
      </c>
      <c r="R76" s="62">
        <f>E78*1*(VLOOKUP(B76,SPIN!$M$27:$N$40,2,FALSE))</f>
        <v>4550</v>
      </c>
      <c r="S76" s="30">
        <f>E78*2*3.14/60</f>
        <v>6.803333333</v>
      </c>
      <c r="T76" s="45">
        <f t="shared" ref="T76:V76" si="24">$S76*T74*8</f>
        <v>5.442666667</v>
      </c>
      <c r="U76" s="45">
        <f t="shared" si="24"/>
        <v>72.38746667</v>
      </c>
      <c r="V76" s="46">
        <f t="shared" si="24"/>
        <v>-66.9448</v>
      </c>
    </row>
    <row r="77">
      <c r="A77" s="9"/>
      <c r="B77" s="89"/>
      <c r="C77" s="86" t="s">
        <v>54</v>
      </c>
      <c r="D77" s="21">
        <v>170.0</v>
      </c>
      <c r="E77" s="87">
        <f t="shared" si="25"/>
        <v>170</v>
      </c>
      <c r="F77" s="76"/>
      <c r="G77" s="30" t="s">
        <v>55</v>
      </c>
      <c r="H77" s="75"/>
      <c r="I77" s="23"/>
      <c r="J77" s="75"/>
      <c r="K77" s="75"/>
      <c r="L77" s="75"/>
      <c r="M77" s="75"/>
      <c r="N77" s="75"/>
      <c r="O77" s="75"/>
      <c r="P77" s="75"/>
      <c r="Q77" s="75"/>
      <c r="R77" s="75"/>
      <c r="S77" s="23"/>
      <c r="T77" s="27"/>
      <c r="U77" s="27"/>
      <c r="V77" s="31"/>
    </row>
    <row r="78">
      <c r="A78" s="9"/>
      <c r="B78" s="89"/>
      <c r="C78" s="86" t="s">
        <v>57</v>
      </c>
      <c r="D78" s="21">
        <v>65.0</v>
      </c>
      <c r="E78" s="87">
        <f t="shared" si="25"/>
        <v>65</v>
      </c>
      <c r="F78" s="76"/>
      <c r="G78" s="30">
        <v>20.0</v>
      </c>
      <c r="H78" s="75"/>
      <c r="I78" s="23"/>
      <c r="J78" s="75"/>
      <c r="K78" s="75"/>
      <c r="L78" s="75"/>
      <c r="M78" s="75"/>
      <c r="N78" s="75"/>
      <c r="O78" s="75"/>
      <c r="P78" s="75"/>
      <c r="Q78" s="75"/>
      <c r="R78" s="75"/>
      <c r="S78" s="23"/>
      <c r="T78" s="27"/>
      <c r="U78" s="27"/>
      <c r="V78" s="31"/>
    </row>
    <row r="79">
      <c r="A79" s="9"/>
      <c r="B79" s="89"/>
      <c r="C79" s="86" t="s">
        <v>59</v>
      </c>
      <c r="D79" s="59">
        <v>35.0</v>
      </c>
      <c r="E79" s="87">
        <f t="shared" si="25"/>
        <v>35</v>
      </c>
      <c r="F79" s="49"/>
      <c r="G79" s="50"/>
      <c r="H79" s="75"/>
      <c r="I79" s="23"/>
      <c r="J79" s="75"/>
      <c r="K79" s="75"/>
      <c r="L79" s="75"/>
      <c r="M79" s="75"/>
      <c r="N79" s="75"/>
      <c r="O79" s="75"/>
      <c r="P79" s="75"/>
      <c r="Q79" s="75"/>
      <c r="R79" s="75"/>
      <c r="S79" s="23"/>
      <c r="T79" s="27"/>
      <c r="U79" s="27"/>
      <c r="V79" s="31"/>
    </row>
    <row r="80">
      <c r="A80" s="9"/>
      <c r="B80" s="89"/>
      <c r="C80" s="86" t="s">
        <v>61</v>
      </c>
      <c r="D80" s="59">
        <v>15.0</v>
      </c>
      <c r="E80" s="87">
        <f t="shared" si="25"/>
        <v>15</v>
      </c>
      <c r="F80" s="76"/>
      <c r="G80" s="50"/>
      <c r="H80" s="75"/>
      <c r="I80" s="23"/>
      <c r="J80" s="75"/>
      <c r="K80" s="75"/>
      <c r="L80" s="75"/>
      <c r="M80" s="75"/>
      <c r="N80" s="75"/>
      <c r="O80" s="75"/>
      <c r="P80" s="75"/>
      <c r="Q80" s="75"/>
      <c r="R80" s="75"/>
      <c r="S80" s="23"/>
      <c r="T80" s="27"/>
      <c r="U80" s="27"/>
      <c r="V80" s="31"/>
    </row>
    <row r="81">
      <c r="A81" s="9"/>
      <c r="B81" s="90"/>
      <c r="C81" s="91" t="s">
        <v>62</v>
      </c>
      <c r="D81" s="60">
        <v>100.0</v>
      </c>
      <c r="E81" s="92">
        <f t="shared" si="25"/>
        <v>100</v>
      </c>
      <c r="F81" s="61"/>
      <c r="G81" s="55"/>
      <c r="H81" s="93"/>
      <c r="I81" s="56"/>
      <c r="J81" s="93"/>
      <c r="K81" s="93"/>
      <c r="L81" s="93"/>
      <c r="M81" s="93"/>
      <c r="N81" s="93"/>
      <c r="O81" s="93"/>
      <c r="P81" s="93"/>
      <c r="Q81" s="93"/>
      <c r="R81" s="93"/>
      <c r="S81" s="56"/>
      <c r="T81" s="57"/>
      <c r="U81" s="57"/>
      <c r="V81" s="58"/>
    </row>
    <row r="82">
      <c r="A82" s="9"/>
      <c r="B82" s="64"/>
      <c r="C82" s="65"/>
      <c r="D82" s="66"/>
      <c r="E82" s="66"/>
      <c r="F82" s="67"/>
      <c r="G82" s="13"/>
      <c r="H82" s="68" t="s">
        <v>27</v>
      </c>
      <c r="I82" s="14"/>
      <c r="J82" s="68"/>
      <c r="K82" s="68" t="s">
        <v>28</v>
      </c>
      <c r="L82" s="69">
        <f>RANDBETWEEN(0,3)</f>
        <v>2</v>
      </c>
      <c r="M82" s="68" t="s">
        <v>29</v>
      </c>
      <c r="N82" s="70">
        <v>1.0</v>
      </c>
      <c r="O82" s="68"/>
      <c r="P82" s="68"/>
      <c r="Q82" s="68"/>
      <c r="R82" s="68"/>
      <c r="S82" s="16"/>
      <c r="T82" s="17"/>
      <c r="U82" s="17"/>
      <c r="V82" s="18"/>
    </row>
    <row r="83">
      <c r="A83" s="9"/>
      <c r="B83" s="71"/>
      <c r="C83" s="72"/>
      <c r="D83" s="73"/>
      <c r="E83" s="73"/>
      <c r="F83" s="81"/>
      <c r="G83" s="22"/>
      <c r="H83" s="75"/>
      <c r="I83" s="23"/>
      <c r="J83" s="75"/>
      <c r="K83" s="75"/>
      <c r="L83" s="76" t="s">
        <v>33</v>
      </c>
      <c r="M83" s="76" t="s">
        <v>33</v>
      </c>
      <c r="N83" s="75"/>
      <c r="O83" s="75"/>
      <c r="P83" s="75"/>
      <c r="Q83" s="75"/>
      <c r="R83" s="75"/>
      <c r="S83" s="25"/>
      <c r="T83" s="26"/>
      <c r="U83" s="27" t="s">
        <v>34</v>
      </c>
      <c r="V83" s="28"/>
    </row>
    <row r="84">
      <c r="A84" s="9"/>
      <c r="B84" s="71"/>
      <c r="C84" s="72"/>
      <c r="D84" s="73"/>
      <c r="E84" s="73"/>
      <c r="F84" s="94" t="s">
        <v>31</v>
      </c>
      <c r="G84" s="30"/>
      <c r="H84" s="75"/>
      <c r="I84" s="23"/>
      <c r="J84" s="75"/>
      <c r="K84" s="75"/>
      <c r="L84" s="78">
        <f>VLOOKUP(L83,RECOVERY!$AA$8:$AP$10,10,FALSE)</f>
        <v>1.25</v>
      </c>
      <c r="M84" s="78">
        <f>VLOOKUP(M83,RECOVERY!$AA$27:$AP$29,10,FALSE)</f>
        <v>0.75</v>
      </c>
      <c r="N84" s="23">
        <v>-1.5</v>
      </c>
      <c r="O84" s="23">
        <v>0.0</v>
      </c>
      <c r="P84" s="23">
        <v>1.5</v>
      </c>
      <c r="Q84" s="75"/>
      <c r="R84" s="78" t="s">
        <v>35</v>
      </c>
      <c r="S84" s="25"/>
      <c r="T84" s="27">
        <v>0.1</v>
      </c>
      <c r="U84" s="27">
        <v>1.33</v>
      </c>
      <c r="V84" s="31">
        <v>-1.23</v>
      </c>
    </row>
    <row r="85">
      <c r="A85" s="9"/>
      <c r="B85" s="79" t="s">
        <v>6</v>
      </c>
      <c r="C85" s="80"/>
      <c r="D85" s="81" t="s">
        <v>36</v>
      </c>
      <c r="E85" s="82" t="s">
        <v>37</v>
      </c>
      <c r="F85" s="94" t="str">
        <f>SUM(F86:F91)&amp;"/25"</f>
        <v>0/25</v>
      </c>
      <c r="G85" s="30" t="s">
        <v>38</v>
      </c>
      <c r="H85" s="83" t="s">
        <v>39</v>
      </c>
      <c r="I85" s="36" t="s">
        <v>40</v>
      </c>
      <c r="J85" s="83" t="s">
        <v>41</v>
      </c>
      <c r="K85" s="83" t="s">
        <v>42</v>
      </c>
      <c r="L85" s="83" t="s">
        <v>43</v>
      </c>
      <c r="M85" s="83" t="s">
        <v>44</v>
      </c>
      <c r="N85" s="36" t="s">
        <v>45</v>
      </c>
      <c r="O85" s="36" t="s">
        <v>46</v>
      </c>
      <c r="P85" s="36" t="s">
        <v>47</v>
      </c>
      <c r="Q85" s="84" t="s">
        <v>48</v>
      </c>
      <c r="R85" s="36" t="s">
        <v>49</v>
      </c>
      <c r="S85" s="30" t="s">
        <v>50</v>
      </c>
      <c r="T85" s="37" t="s">
        <v>51</v>
      </c>
      <c r="U85" s="37" t="s">
        <v>45</v>
      </c>
      <c r="V85" s="38" t="s">
        <v>47</v>
      </c>
    </row>
    <row r="86">
      <c r="A86" s="9"/>
      <c r="B86" s="85" t="s">
        <v>20</v>
      </c>
      <c r="C86" s="86" t="s">
        <v>52</v>
      </c>
      <c r="D86" s="59">
        <v>45.0</v>
      </c>
      <c r="E86" s="87">
        <f t="shared" ref="E86:E91" si="28">D86+F86</f>
        <v>45</v>
      </c>
      <c r="F86" s="76"/>
      <c r="G86" s="30">
        <v>30.0</v>
      </c>
      <c r="H86" s="62">
        <f>$G$6+(E86/2)+$AB$6+(Z86/2)+$L$2</f>
        <v>83.5</v>
      </c>
      <c r="I86" s="30">
        <f>1-(E87/1000)</f>
        <v>0.845</v>
      </c>
      <c r="J86" s="88">
        <f>ROUND(POWER(E86/100,0.5),3)</f>
        <v>0.671</v>
      </c>
      <c r="K86" s="62">
        <f>(G88*J86*I86*N82)</f>
        <v>11.3399</v>
      </c>
      <c r="L86" s="62">
        <f>1+(L84-1)*(1-E90/500)</f>
        <v>1.2425</v>
      </c>
      <c r="M86" s="44">
        <f>M84+((1-M84)*0.5*E90/400)</f>
        <v>0.7546875</v>
      </c>
      <c r="N86" s="44">
        <f>(E89+(Q86*N84))/1.3</f>
        <v>24.15384615</v>
      </c>
      <c r="O86" s="44">
        <f t="shared" ref="O86:P86" si="26">(D89+(P86*O84))/1.3</f>
        <v>26.92307692</v>
      </c>
      <c r="P86" s="44">
        <f t="shared" si="26"/>
        <v>29.69230769</v>
      </c>
      <c r="Q86" s="88">
        <f>3*(E88/100)</f>
        <v>2.4</v>
      </c>
      <c r="R86" s="62">
        <f>E88*1*(VLOOKUP(B86,SPIN!$M$27:$N$40,2,FALSE))</f>
        <v>5600</v>
      </c>
      <c r="S86" s="30">
        <f>E88*2*3.14/60</f>
        <v>8.373333333</v>
      </c>
      <c r="T86" s="45">
        <f t="shared" ref="T86:V86" si="27">$S86*T84*8</f>
        <v>6.698666667</v>
      </c>
      <c r="U86" s="45">
        <f t="shared" si="27"/>
        <v>89.09226667</v>
      </c>
      <c r="V86" s="46">
        <f t="shared" si="27"/>
        <v>-82.3936</v>
      </c>
    </row>
    <row r="87">
      <c r="A87" s="9"/>
      <c r="B87" s="89"/>
      <c r="C87" s="86" t="s">
        <v>54</v>
      </c>
      <c r="D87" s="21">
        <v>155.0</v>
      </c>
      <c r="E87" s="87">
        <f t="shared" si="28"/>
        <v>155</v>
      </c>
      <c r="F87" s="76"/>
      <c r="G87" s="30" t="s">
        <v>55</v>
      </c>
      <c r="H87" s="75"/>
      <c r="I87" s="23"/>
      <c r="J87" s="75"/>
      <c r="K87" s="75"/>
      <c r="L87" s="75"/>
      <c r="M87" s="75"/>
      <c r="N87" s="75"/>
      <c r="O87" s="75"/>
      <c r="P87" s="75"/>
      <c r="Q87" s="75"/>
      <c r="R87" s="75"/>
      <c r="S87" s="23"/>
      <c r="T87" s="27"/>
      <c r="U87" s="27"/>
      <c r="V87" s="31"/>
    </row>
    <row r="88">
      <c r="A88" s="9"/>
      <c r="B88" s="89"/>
      <c r="C88" s="86" t="s">
        <v>57</v>
      </c>
      <c r="D88" s="21">
        <v>80.0</v>
      </c>
      <c r="E88" s="87">
        <f t="shared" si="28"/>
        <v>80</v>
      </c>
      <c r="F88" s="76"/>
      <c r="G88" s="30">
        <v>20.0</v>
      </c>
      <c r="H88" s="75"/>
      <c r="I88" s="23"/>
      <c r="J88" s="75"/>
      <c r="K88" s="75"/>
      <c r="L88" s="75"/>
      <c r="M88" s="75"/>
      <c r="N88" s="75"/>
      <c r="O88" s="75"/>
      <c r="P88" s="75"/>
      <c r="Q88" s="75"/>
      <c r="R88" s="75"/>
      <c r="S88" s="23"/>
      <c r="T88" s="27"/>
      <c r="U88" s="27"/>
      <c r="V88" s="31"/>
    </row>
    <row r="89">
      <c r="A89" s="9"/>
      <c r="B89" s="89"/>
      <c r="C89" s="86" t="s">
        <v>59</v>
      </c>
      <c r="D89" s="59">
        <v>35.0</v>
      </c>
      <c r="E89" s="87">
        <f t="shared" si="28"/>
        <v>35</v>
      </c>
      <c r="F89" s="49"/>
      <c r="G89" s="50"/>
      <c r="H89" s="75"/>
      <c r="I89" s="23"/>
      <c r="J89" s="75"/>
      <c r="K89" s="75"/>
      <c r="L89" s="75"/>
      <c r="M89" s="75"/>
      <c r="N89" s="75"/>
      <c r="O89" s="75"/>
      <c r="P89" s="75"/>
      <c r="Q89" s="75"/>
      <c r="R89" s="75"/>
      <c r="S89" s="23"/>
      <c r="T89" s="27"/>
      <c r="U89" s="27"/>
      <c r="V89" s="31"/>
    </row>
    <row r="90">
      <c r="A90" s="9"/>
      <c r="B90" s="89"/>
      <c r="C90" s="86" t="s">
        <v>61</v>
      </c>
      <c r="D90" s="59">
        <v>15.0</v>
      </c>
      <c r="E90" s="87">
        <f t="shared" si="28"/>
        <v>15</v>
      </c>
      <c r="F90" s="76"/>
      <c r="G90" s="50"/>
      <c r="H90" s="75"/>
      <c r="I90" s="23"/>
      <c r="J90" s="75"/>
      <c r="K90" s="75"/>
      <c r="L90" s="75"/>
      <c r="M90" s="75"/>
      <c r="N90" s="75"/>
      <c r="O90" s="75"/>
      <c r="P90" s="75"/>
      <c r="Q90" s="75"/>
      <c r="R90" s="75"/>
      <c r="S90" s="23"/>
      <c r="T90" s="27"/>
      <c r="U90" s="27"/>
      <c r="V90" s="31"/>
    </row>
    <row r="91">
      <c r="A91" s="9"/>
      <c r="B91" s="90"/>
      <c r="C91" s="91" t="s">
        <v>62</v>
      </c>
      <c r="D91" s="60">
        <v>100.0</v>
      </c>
      <c r="E91" s="92">
        <f t="shared" si="28"/>
        <v>100</v>
      </c>
      <c r="F91" s="61"/>
      <c r="G91" s="55"/>
      <c r="H91" s="93"/>
      <c r="I91" s="56"/>
      <c r="J91" s="93"/>
      <c r="K91" s="93"/>
      <c r="L91" s="93"/>
      <c r="M91" s="93"/>
      <c r="N91" s="93"/>
      <c r="O91" s="93"/>
      <c r="P91" s="93"/>
      <c r="Q91" s="93"/>
      <c r="R91" s="93"/>
      <c r="S91" s="56"/>
      <c r="T91" s="57"/>
      <c r="U91" s="57"/>
      <c r="V91" s="58"/>
    </row>
    <row r="92">
      <c r="A92" s="9"/>
      <c r="B92" s="64"/>
      <c r="C92" s="65"/>
      <c r="D92" s="66"/>
      <c r="E92" s="66"/>
      <c r="F92" s="67"/>
      <c r="G92" s="13"/>
      <c r="H92" s="68" t="s">
        <v>27</v>
      </c>
      <c r="I92" s="14"/>
      <c r="J92" s="68"/>
      <c r="K92" s="68" t="s">
        <v>28</v>
      </c>
      <c r="L92" s="69">
        <f>RANDBETWEEN(0,3)</f>
        <v>0</v>
      </c>
      <c r="M92" s="68" t="s">
        <v>29</v>
      </c>
      <c r="N92" s="70">
        <v>1.0</v>
      </c>
      <c r="O92" s="68"/>
      <c r="P92" s="68"/>
      <c r="Q92" s="68"/>
      <c r="R92" s="68"/>
      <c r="S92" s="16"/>
      <c r="T92" s="17"/>
      <c r="U92" s="17"/>
      <c r="V92" s="18"/>
    </row>
    <row r="93">
      <c r="A93" s="9"/>
      <c r="B93" s="71"/>
      <c r="C93" s="72"/>
      <c r="D93" s="73"/>
      <c r="E93" s="73"/>
      <c r="F93" s="74"/>
      <c r="G93" s="22"/>
      <c r="H93" s="75"/>
      <c r="I93" s="23"/>
      <c r="J93" s="75"/>
      <c r="K93" s="75"/>
      <c r="L93" s="76" t="s">
        <v>33</v>
      </c>
      <c r="M93" s="76" t="s">
        <v>33</v>
      </c>
      <c r="N93" s="75"/>
      <c r="O93" s="75"/>
      <c r="P93" s="75"/>
      <c r="Q93" s="75"/>
      <c r="R93" s="75"/>
      <c r="S93" s="25"/>
      <c r="T93" s="26"/>
      <c r="U93" s="27" t="s">
        <v>34</v>
      </c>
      <c r="V93" s="28"/>
    </row>
    <row r="94">
      <c r="A94" s="9"/>
      <c r="B94" s="71"/>
      <c r="C94" s="72"/>
      <c r="D94" s="73"/>
      <c r="E94" s="73"/>
      <c r="F94" s="77" t="s">
        <v>31</v>
      </c>
      <c r="G94" s="30"/>
      <c r="H94" s="75"/>
      <c r="I94" s="23"/>
      <c r="J94" s="75"/>
      <c r="K94" s="75"/>
      <c r="L94" s="78">
        <f>VLOOKUP(L93,RECOVERY!$AA$8:$AP$10,11,FALSE)</f>
        <v>1.2</v>
      </c>
      <c r="M94" s="78">
        <f>VLOOKUP(M93,RECOVERY!$AA$27:$AP$29,11,FALSE)</f>
        <v>0.75</v>
      </c>
      <c r="N94" s="23">
        <v>-1.5</v>
      </c>
      <c r="O94" s="23">
        <v>0.0</v>
      </c>
      <c r="P94" s="23">
        <v>1.5</v>
      </c>
      <c r="Q94" s="75"/>
      <c r="R94" s="78" t="s">
        <v>35</v>
      </c>
      <c r="S94" s="25"/>
      <c r="T94" s="27">
        <v>0.1</v>
      </c>
      <c r="U94" s="27">
        <v>1.33</v>
      </c>
      <c r="V94" s="31">
        <v>-1.23</v>
      </c>
    </row>
    <row r="95">
      <c r="A95" s="9"/>
      <c r="B95" s="79" t="s">
        <v>6</v>
      </c>
      <c r="C95" s="80"/>
      <c r="D95" s="81" t="s">
        <v>36</v>
      </c>
      <c r="E95" s="82" t="s">
        <v>37</v>
      </c>
      <c r="F95" s="77" t="str">
        <f>SUM(F96:F101)&amp;"/25"</f>
        <v>0/25</v>
      </c>
      <c r="G95" s="30" t="s">
        <v>38</v>
      </c>
      <c r="H95" s="83" t="s">
        <v>39</v>
      </c>
      <c r="I95" s="36" t="s">
        <v>40</v>
      </c>
      <c r="J95" s="83" t="s">
        <v>41</v>
      </c>
      <c r="K95" s="83" t="s">
        <v>42</v>
      </c>
      <c r="L95" s="83" t="s">
        <v>43</v>
      </c>
      <c r="M95" s="83" t="s">
        <v>44</v>
      </c>
      <c r="N95" s="36" t="s">
        <v>45</v>
      </c>
      <c r="O95" s="36" t="s">
        <v>46</v>
      </c>
      <c r="P95" s="36" t="s">
        <v>47</v>
      </c>
      <c r="Q95" s="84" t="s">
        <v>48</v>
      </c>
      <c r="R95" s="36" t="s">
        <v>49</v>
      </c>
      <c r="S95" s="30" t="s">
        <v>50</v>
      </c>
      <c r="T95" s="37" t="s">
        <v>51</v>
      </c>
      <c r="U95" s="37" t="s">
        <v>45</v>
      </c>
      <c r="V95" s="38" t="s">
        <v>47</v>
      </c>
    </row>
    <row r="96">
      <c r="A96" s="9"/>
      <c r="B96" s="85" t="s">
        <v>21</v>
      </c>
      <c r="C96" s="86" t="s">
        <v>52</v>
      </c>
      <c r="D96" s="59">
        <v>40.0</v>
      </c>
      <c r="E96" s="87">
        <f t="shared" ref="E96:E101" si="31">D96+F96</f>
        <v>40</v>
      </c>
      <c r="F96" s="76"/>
      <c r="G96" s="30">
        <v>30.0</v>
      </c>
      <c r="H96" s="62">
        <f>$G$6+(E96/2)+$AB$6+(Z96/2)+$L$2</f>
        <v>81</v>
      </c>
      <c r="I96" s="30">
        <f>1-(E97/1000)</f>
        <v>0.855</v>
      </c>
      <c r="J96" s="88">
        <f>ROUND(POWER(E96/100,0.5),3)</f>
        <v>0.632</v>
      </c>
      <c r="K96" s="62">
        <f>(G98*J96*I96*N92)</f>
        <v>10.8072</v>
      </c>
      <c r="L96" s="62">
        <f>1+(L94-1)*(1-E100/500)</f>
        <v>1.188</v>
      </c>
      <c r="M96" s="44">
        <f>M94+((1-M94)*0.5*E100/400)</f>
        <v>0.759375</v>
      </c>
      <c r="N96" s="44">
        <f>(E99+(Q96*N94))/1.3</f>
        <v>26.63461538</v>
      </c>
      <c r="O96" s="44">
        <f t="shared" ref="O96:P96" si="29">(D99+(P96*O94))/1.3</f>
        <v>29.23076923</v>
      </c>
      <c r="P96" s="44">
        <f t="shared" si="29"/>
        <v>31.82692308</v>
      </c>
      <c r="Q96" s="88">
        <f>3*(E98/100)</f>
        <v>2.25</v>
      </c>
      <c r="R96" s="62">
        <f>E98*1*(VLOOKUP(B96,SPIN!$M$27:$N$40,2,FALSE))</f>
        <v>6000</v>
      </c>
      <c r="S96" s="30">
        <f>E98*2*3.14/60</f>
        <v>7.85</v>
      </c>
      <c r="T96" s="45">
        <f t="shared" ref="T96:V96" si="30">$S96*T94*8</f>
        <v>6.28</v>
      </c>
      <c r="U96" s="45">
        <f t="shared" si="30"/>
        <v>83.524</v>
      </c>
      <c r="V96" s="46">
        <f t="shared" si="30"/>
        <v>-77.244</v>
      </c>
    </row>
    <row r="97">
      <c r="A97" s="9"/>
      <c r="B97" s="89"/>
      <c r="C97" s="86" t="s">
        <v>54</v>
      </c>
      <c r="D97" s="21">
        <v>145.0</v>
      </c>
      <c r="E97" s="87">
        <f t="shared" si="31"/>
        <v>145</v>
      </c>
      <c r="F97" s="76"/>
      <c r="G97" s="30" t="s">
        <v>55</v>
      </c>
      <c r="H97" s="75"/>
      <c r="I97" s="23"/>
      <c r="J97" s="75"/>
      <c r="K97" s="75"/>
      <c r="L97" s="75"/>
      <c r="M97" s="75"/>
      <c r="N97" s="75"/>
      <c r="O97" s="75"/>
      <c r="P97" s="75"/>
      <c r="Q97" s="75"/>
      <c r="R97" s="75"/>
      <c r="S97" s="23"/>
      <c r="T97" s="27"/>
      <c r="U97" s="27"/>
      <c r="V97" s="31"/>
    </row>
    <row r="98">
      <c r="A98" s="9"/>
      <c r="B98" s="89"/>
      <c r="C98" s="86" t="s">
        <v>57</v>
      </c>
      <c r="D98" s="21">
        <v>75.0</v>
      </c>
      <c r="E98" s="87">
        <f t="shared" si="31"/>
        <v>75</v>
      </c>
      <c r="F98" s="76"/>
      <c r="G98" s="30">
        <v>20.0</v>
      </c>
      <c r="H98" s="75"/>
      <c r="I98" s="23"/>
      <c r="J98" s="75"/>
      <c r="K98" s="75"/>
      <c r="L98" s="75"/>
      <c r="M98" s="75"/>
      <c r="N98" s="75"/>
      <c r="O98" s="75"/>
      <c r="P98" s="75"/>
      <c r="Q98" s="75"/>
      <c r="R98" s="75"/>
      <c r="S98" s="23"/>
      <c r="T98" s="27"/>
      <c r="U98" s="27"/>
      <c r="V98" s="31"/>
    </row>
    <row r="99">
      <c r="A99" s="9"/>
      <c r="B99" s="89"/>
      <c r="C99" s="86" t="s">
        <v>59</v>
      </c>
      <c r="D99" s="59">
        <v>38.0</v>
      </c>
      <c r="E99" s="87">
        <f t="shared" si="31"/>
        <v>38</v>
      </c>
      <c r="F99" s="49"/>
      <c r="G99" s="50"/>
      <c r="H99" s="75"/>
      <c r="I99" s="23"/>
      <c r="J99" s="75"/>
      <c r="K99" s="75"/>
      <c r="L99" s="75"/>
      <c r="M99" s="75"/>
      <c r="N99" s="75"/>
      <c r="O99" s="75"/>
      <c r="P99" s="75"/>
      <c r="Q99" s="75"/>
      <c r="R99" s="75"/>
      <c r="S99" s="23"/>
      <c r="T99" s="27"/>
      <c r="U99" s="27"/>
      <c r="V99" s="31"/>
    </row>
    <row r="100">
      <c r="A100" s="9"/>
      <c r="B100" s="89"/>
      <c r="C100" s="86" t="s">
        <v>61</v>
      </c>
      <c r="D100" s="59">
        <v>30.0</v>
      </c>
      <c r="E100" s="87">
        <f t="shared" si="31"/>
        <v>30</v>
      </c>
      <c r="F100" s="76"/>
      <c r="G100" s="50"/>
      <c r="H100" s="75"/>
      <c r="I100" s="23"/>
      <c r="J100" s="75"/>
      <c r="K100" s="75"/>
      <c r="L100" s="75"/>
      <c r="M100" s="75"/>
      <c r="N100" s="75"/>
      <c r="O100" s="75"/>
      <c r="P100" s="75"/>
      <c r="Q100" s="75"/>
      <c r="R100" s="75"/>
      <c r="S100" s="23"/>
      <c r="T100" s="27"/>
      <c r="U100" s="27"/>
      <c r="V100" s="31"/>
    </row>
    <row r="101">
      <c r="A101" s="9"/>
      <c r="B101" s="90"/>
      <c r="C101" s="91" t="s">
        <v>62</v>
      </c>
      <c r="D101" s="60">
        <v>100.0</v>
      </c>
      <c r="E101" s="92">
        <f t="shared" si="31"/>
        <v>100</v>
      </c>
      <c r="F101" s="61"/>
      <c r="G101" s="55"/>
      <c r="H101" s="93"/>
      <c r="I101" s="56"/>
      <c r="J101" s="93"/>
      <c r="K101" s="93"/>
      <c r="L101" s="93"/>
      <c r="M101" s="93"/>
      <c r="N101" s="93"/>
      <c r="O101" s="93"/>
      <c r="P101" s="93"/>
      <c r="Q101" s="93"/>
      <c r="R101" s="93"/>
      <c r="S101" s="56"/>
      <c r="T101" s="57"/>
      <c r="U101" s="57"/>
      <c r="V101" s="58"/>
    </row>
    <row r="102">
      <c r="A102" s="9"/>
      <c r="B102" s="64"/>
      <c r="C102" s="65"/>
      <c r="D102" s="66"/>
      <c r="E102" s="66"/>
      <c r="F102" s="67"/>
      <c r="G102" s="13"/>
      <c r="H102" s="68" t="s">
        <v>27</v>
      </c>
      <c r="I102" s="14"/>
      <c r="J102" s="68"/>
      <c r="K102" s="68" t="s">
        <v>28</v>
      </c>
      <c r="L102" s="69">
        <f>RANDBETWEEN(0,3)</f>
        <v>1</v>
      </c>
      <c r="M102" s="68" t="s">
        <v>29</v>
      </c>
      <c r="N102" s="70">
        <v>1.0</v>
      </c>
      <c r="O102" s="68"/>
      <c r="P102" s="68"/>
      <c r="Q102" s="68"/>
      <c r="R102" s="68"/>
      <c r="S102" s="16"/>
      <c r="T102" s="17"/>
      <c r="U102" s="17"/>
      <c r="V102" s="18"/>
    </row>
    <row r="103">
      <c r="A103" s="9"/>
      <c r="B103" s="71"/>
      <c r="C103" s="72"/>
      <c r="D103" s="73"/>
      <c r="E103" s="73"/>
      <c r="F103" s="74"/>
      <c r="G103" s="22"/>
      <c r="H103" s="75"/>
      <c r="I103" s="23"/>
      <c r="J103" s="75"/>
      <c r="K103" s="75"/>
      <c r="L103" s="76" t="s">
        <v>33</v>
      </c>
      <c r="M103" s="76" t="s">
        <v>33</v>
      </c>
      <c r="N103" s="75"/>
      <c r="O103" s="75"/>
      <c r="P103" s="75"/>
      <c r="Q103" s="75"/>
      <c r="R103" s="75"/>
      <c r="S103" s="25"/>
      <c r="T103" s="26"/>
      <c r="U103" s="27" t="s">
        <v>34</v>
      </c>
      <c r="V103" s="28"/>
    </row>
    <row r="104">
      <c r="A104" s="9"/>
      <c r="B104" s="71"/>
      <c r="C104" s="72"/>
      <c r="D104" s="73"/>
      <c r="E104" s="73"/>
      <c r="F104" s="77" t="s">
        <v>31</v>
      </c>
      <c r="G104" s="30"/>
      <c r="H104" s="75"/>
      <c r="I104" s="23"/>
      <c r="J104" s="75"/>
      <c r="K104" s="75"/>
      <c r="L104" s="78">
        <f>VLOOKUP(L103,RECOVERY!$AA$8:$AP$10,12,FALSE)</f>
        <v>1.2</v>
      </c>
      <c r="M104" s="78">
        <f>VLOOKUP(M103,RECOVERY!$AA$27:$AP$29,12,FALSE)</f>
        <v>0.75</v>
      </c>
      <c r="N104" s="23">
        <v>-1.5</v>
      </c>
      <c r="O104" s="23">
        <v>0.0</v>
      </c>
      <c r="P104" s="23">
        <v>1.5</v>
      </c>
      <c r="Q104" s="75"/>
      <c r="R104" s="78" t="s">
        <v>35</v>
      </c>
      <c r="S104" s="25"/>
      <c r="T104" s="27">
        <v>0.1</v>
      </c>
      <c r="U104" s="27">
        <v>1.33</v>
      </c>
      <c r="V104" s="31">
        <v>-1.23</v>
      </c>
    </row>
    <row r="105">
      <c r="A105" s="9"/>
      <c r="B105" s="79" t="s">
        <v>6</v>
      </c>
      <c r="C105" s="80"/>
      <c r="D105" s="81" t="s">
        <v>36</v>
      </c>
      <c r="E105" s="82" t="s">
        <v>37</v>
      </c>
      <c r="F105" s="77" t="str">
        <f>SUM(F106:F111)&amp;"/25"</f>
        <v>0/25</v>
      </c>
      <c r="G105" s="30" t="s">
        <v>38</v>
      </c>
      <c r="H105" s="83" t="s">
        <v>39</v>
      </c>
      <c r="I105" s="36" t="s">
        <v>40</v>
      </c>
      <c r="J105" s="83" t="s">
        <v>41</v>
      </c>
      <c r="K105" s="83" t="s">
        <v>42</v>
      </c>
      <c r="L105" s="83" t="s">
        <v>43</v>
      </c>
      <c r="M105" s="83" t="s">
        <v>44</v>
      </c>
      <c r="N105" s="36" t="s">
        <v>45</v>
      </c>
      <c r="O105" s="36" t="s">
        <v>46</v>
      </c>
      <c r="P105" s="36" t="s">
        <v>47</v>
      </c>
      <c r="Q105" s="84" t="s">
        <v>48</v>
      </c>
      <c r="R105" s="36" t="s">
        <v>49</v>
      </c>
      <c r="S105" s="30" t="s">
        <v>50</v>
      </c>
      <c r="T105" s="37" t="s">
        <v>51</v>
      </c>
      <c r="U105" s="37" t="s">
        <v>45</v>
      </c>
      <c r="V105" s="38" t="s">
        <v>47</v>
      </c>
    </row>
    <row r="106">
      <c r="A106" s="9"/>
      <c r="B106" s="85" t="s">
        <v>22</v>
      </c>
      <c r="C106" s="86" t="s">
        <v>52</v>
      </c>
      <c r="D106" s="59">
        <v>35.0</v>
      </c>
      <c r="E106" s="87">
        <f t="shared" ref="E106:E111" si="34">D106+F106</f>
        <v>35</v>
      </c>
      <c r="F106" s="76"/>
      <c r="G106" s="30">
        <v>30.0</v>
      </c>
      <c r="H106" s="62">
        <f>$G$6+(E106/2)+$AB$6+(Z106/2)+$L$2</f>
        <v>78.5</v>
      </c>
      <c r="I106" s="30">
        <f>1-(E107/1000)</f>
        <v>0.85</v>
      </c>
      <c r="J106" s="88">
        <f>ROUND(POWER(E106/100,0.5),3)</f>
        <v>0.592</v>
      </c>
      <c r="K106" s="62">
        <f>(G108*J106*I106*N102)</f>
        <v>10.064</v>
      </c>
      <c r="L106" s="62">
        <f>1+(L104-1)*(1-E110/500)</f>
        <v>1.186</v>
      </c>
      <c r="M106" s="44">
        <f>M104+((1-M104)*0.5*E110/400)</f>
        <v>0.7609375</v>
      </c>
      <c r="N106" s="44">
        <f>(E109+(Q106*N104))/1.3</f>
        <v>29.53846154</v>
      </c>
      <c r="O106" s="44">
        <f t="shared" ref="O106:P106" si="32">(D109+(P106*O104))/1.3</f>
        <v>32.30769231</v>
      </c>
      <c r="P106" s="44">
        <f t="shared" si="32"/>
        <v>35.07692308</v>
      </c>
      <c r="Q106" s="88">
        <f>3*(E108/100)</f>
        <v>2.4</v>
      </c>
      <c r="R106" s="62">
        <f>E108*1*(VLOOKUP(B106,SPIN!$M$27:$N$40,2,FALSE))</f>
        <v>6400</v>
      </c>
      <c r="S106" s="30">
        <f>E108*2*3.14/60</f>
        <v>8.373333333</v>
      </c>
      <c r="T106" s="45">
        <f t="shared" ref="T106:V106" si="33">$S106*T104*8</f>
        <v>6.698666667</v>
      </c>
      <c r="U106" s="45">
        <f t="shared" si="33"/>
        <v>89.09226667</v>
      </c>
      <c r="V106" s="46">
        <f t="shared" si="33"/>
        <v>-82.3936</v>
      </c>
    </row>
    <row r="107">
      <c r="A107" s="9"/>
      <c r="B107" s="89"/>
      <c r="C107" s="86" t="s">
        <v>54</v>
      </c>
      <c r="D107" s="21">
        <f>D97+5</f>
        <v>150</v>
      </c>
      <c r="E107" s="87">
        <f t="shared" si="34"/>
        <v>150</v>
      </c>
      <c r="F107" s="76"/>
      <c r="G107" s="30" t="s">
        <v>55</v>
      </c>
      <c r="H107" s="75"/>
      <c r="I107" s="23"/>
      <c r="J107" s="75"/>
      <c r="K107" s="75"/>
      <c r="L107" s="75"/>
      <c r="M107" s="75"/>
      <c r="N107" s="75"/>
      <c r="O107" s="75"/>
      <c r="P107" s="75"/>
      <c r="Q107" s="75"/>
      <c r="R107" s="75"/>
      <c r="S107" s="23"/>
      <c r="T107" s="27"/>
      <c r="U107" s="27"/>
      <c r="V107" s="31"/>
    </row>
    <row r="108">
      <c r="A108" s="9"/>
      <c r="B108" s="89"/>
      <c r="C108" s="86" t="s">
        <v>57</v>
      </c>
      <c r="D108" s="21">
        <v>80.0</v>
      </c>
      <c r="E108" s="87">
        <f t="shared" si="34"/>
        <v>80</v>
      </c>
      <c r="F108" s="76"/>
      <c r="G108" s="30">
        <v>20.0</v>
      </c>
      <c r="H108" s="75"/>
      <c r="I108" s="23"/>
      <c r="J108" s="75"/>
      <c r="K108" s="75"/>
      <c r="L108" s="75"/>
      <c r="M108" s="75"/>
      <c r="N108" s="75"/>
      <c r="O108" s="75"/>
      <c r="P108" s="75"/>
      <c r="Q108" s="75"/>
      <c r="R108" s="75"/>
      <c r="S108" s="23"/>
      <c r="T108" s="27"/>
      <c r="U108" s="27"/>
      <c r="V108" s="31"/>
    </row>
    <row r="109">
      <c r="A109" s="9"/>
      <c r="B109" s="89"/>
      <c r="C109" s="86" t="s">
        <v>59</v>
      </c>
      <c r="D109" s="59">
        <v>42.0</v>
      </c>
      <c r="E109" s="87">
        <f t="shared" si="34"/>
        <v>42</v>
      </c>
      <c r="F109" s="49"/>
      <c r="G109" s="50"/>
      <c r="H109" s="75"/>
      <c r="I109" s="23"/>
      <c r="J109" s="75"/>
      <c r="K109" s="75"/>
      <c r="L109" s="75"/>
      <c r="M109" s="75"/>
      <c r="N109" s="75"/>
      <c r="O109" s="75"/>
      <c r="P109" s="75"/>
      <c r="Q109" s="75"/>
      <c r="R109" s="75"/>
      <c r="S109" s="23"/>
      <c r="T109" s="27"/>
      <c r="U109" s="27"/>
      <c r="V109" s="31"/>
    </row>
    <row r="110">
      <c r="A110" s="9"/>
      <c r="B110" s="89"/>
      <c r="C110" s="86" t="s">
        <v>61</v>
      </c>
      <c r="D110" s="59">
        <v>35.0</v>
      </c>
      <c r="E110" s="87">
        <f t="shared" si="34"/>
        <v>35</v>
      </c>
      <c r="F110" s="76"/>
      <c r="G110" s="50"/>
      <c r="H110" s="75"/>
      <c r="I110" s="23"/>
      <c r="J110" s="75"/>
      <c r="K110" s="75"/>
      <c r="L110" s="75"/>
      <c r="M110" s="75"/>
      <c r="N110" s="75"/>
      <c r="O110" s="75"/>
      <c r="P110" s="75"/>
      <c r="Q110" s="75"/>
      <c r="R110" s="75"/>
      <c r="S110" s="23"/>
      <c r="T110" s="27"/>
      <c r="U110" s="27"/>
      <c r="V110" s="31"/>
    </row>
    <row r="111">
      <c r="A111" s="9"/>
      <c r="B111" s="90"/>
      <c r="C111" s="91" t="s">
        <v>62</v>
      </c>
      <c r="D111" s="60">
        <v>100.0</v>
      </c>
      <c r="E111" s="92">
        <f t="shared" si="34"/>
        <v>100</v>
      </c>
      <c r="F111" s="61"/>
      <c r="G111" s="55"/>
      <c r="H111" s="93"/>
      <c r="I111" s="56"/>
      <c r="J111" s="93"/>
      <c r="K111" s="93"/>
      <c r="L111" s="93"/>
      <c r="M111" s="93"/>
      <c r="N111" s="93"/>
      <c r="O111" s="93"/>
      <c r="P111" s="93"/>
      <c r="Q111" s="93"/>
      <c r="R111" s="93"/>
      <c r="S111" s="56"/>
      <c r="T111" s="57"/>
      <c r="U111" s="57"/>
      <c r="V111" s="58"/>
    </row>
    <row r="112">
      <c r="A112" s="9"/>
      <c r="B112" s="64"/>
      <c r="C112" s="65"/>
      <c r="D112" s="66"/>
      <c r="E112" s="66"/>
      <c r="F112" s="67"/>
      <c r="G112" s="13"/>
      <c r="H112" s="68" t="s">
        <v>27</v>
      </c>
      <c r="I112" s="14"/>
      <c r="J112" s="68"/>
      <c r="K112" s="68" t="s">
        <v>28</v>
      </c>
      <c r="L112" s="69">
        <f>RANDBETWEEN(0,3)</f>
        <v>0</v>
      </c>
      <c r="M112" s="68" t="s">
        <v>29</v>
      </c>
      <c r="N112" s="70">
        <v>1.0</v>
      </c>
      <c r="O112" s="68"/>
      <c r="P112" s="68"/>
      <c r="Q112" s="68"/>
      <c r="R112" s="68"/>
      <c r="S112" s="16"/>
      <c r="T112" s="17"/>
      <c r="U112" s="17"/>
      <c r="V112" s="18"/>
    </row>
    <row r="113">
      <c r="A113" s="9"/>
      <c r="B113" s="71"/>
      <c r="C113" s="72"/>
      <c r="D113" s="73"/>
      <c r="E113" s="73"/>
      <c r="F113" s="74"/>
      <c r="G113" s="22"/>
      <c r="H113" s="75"/>
      <c r="I113" s="23"/>
      <c r="J113" s="75"/>
      <c r="K113" s="75"/>
      <c r="L113" s="76" t="s">
        <v>33</v>
      </c>
      <c r="M113" s="76" t="s">
        <v>33</v>
      </c>
      <c r="N113" s="75"/>
      <c r="O113" s="75"/>
      <c r="P113" s="75"/>
      <c r="Q113" s="75"/>
      <c r="R113" s="75"/>
      <c r="S113" s="25"/>
      <c r="T113" s="26"/>
      <c r="U113" s="27" t="s">
        <v>34</v>
      </c>
      <c r="V113" s="28"/>
    </row>
    <row r="114">
      <c r="A114" s="9"/>
      <c r="B114" s="71"/>
      <c r="C114" s="72"/>
      <c r="D114" s="73"/>
      <c r="E114" s="73"/>
      <c r="F114" s="77" t="s">
        <v>31</v>
      </c>
      <c r="G114" s="30"/>
      <c r="H114" s="75"/>
      <c r="I114" s="23"/>
      <c r="J114" s="75"/>
      <c r="K114" s="75"/>
      <c r="L114" s="78">
        <f>VLOOKUP(L113,RECOVERY!$AA$8:$AP$10,13,FALSE)</f>
        <v>1.15</v>
      </c>
      <c r="M114" s="78">
        <f>VLOOKUP(M113,RECOVERY!$AA$27:$AP$29,13,FALSE)</f>
        <v>0.85</v>
      </c>
      <c r="N114" s="23">
        <v>-1.5</v>
      </c>
      <c r="O114" s="23">
        <v>0.0</v>
      </c>
      <c r="P114" s="23">
        <v>1.5</v>
      </c>
      <c r="Q114" s="75"/>
      <c r="R114" s="78" t="s">
        <v>35</v>
      </c>
      <c r="S114" s="25"/>
      <c r="T114" s="27">
        <v>0.1</v>
      </c>
      <c r="U114" s="27">
        <v>1.33</v>
      </c>
      <c r="V114" s="31">
        <v>-1.23</v>
      </c>
    </row>
    <row r="115">
      <c r="A115" s="9"/>
      <c r="B115" s="79" t="s">
        <v>6</v>
      </c>
      <c r="C115" s="80"/>
      <c r="D115" s="81" t="s">
        <v>36</v>
      </c>
      <c r="E115" s="82" t="s">
        <v>37</v>
      </c>
      <c r="F115" s="77" t="str">
        <f>SUM(F116:F121)&amp;"/25"</f>
        <v>0/25</v>
      </c>
      <c r="G115" s="30" t="s">
        <v>38</v>
      </c>
      <c r="H115" s="83" t="s">
        <v>39</v>
      </c>
      <c r="I115" s="36" t="s">
        <v>40</v>
      </c>
      <c r="J115" s="83" t="s">
        <v>41</v>
      </c>
      <c r="K115" s="83" t="s">
        <v>42</v>
      </c>
      <c r="L115" s="83" t="s">
        <v>43</v>
      </c>
      <c r="M115" s="83" t="s">
        <v>44</v>
      </c>
      <c r="N115" s="36" t="s">
        <v>45</v>
      </c>
      <c r="O115" s="36" t="s">
        <v>46</v>
      </c>
      <c r="P115" s="36" t="s">
        <v>47</v>
      </c>
      <c r="Q115" s="84" t="s">
        <v>48</v>
      </c>
      <c r="R115" s="36" t="s">
        <v>49</v>
      </c>
      <c r="S115" s="30" t="s">
        <v>50</v>
      </c>
      <c r="T115" s="37" t="s">
        <v>51</v>
      </c>
      <c r="U115" s="37" t="s">
        <v>45</v>
      </c>
      <c r="V115" s="38" t="s">
        <v>47</v>
      </c>
    </row>
    <row r="116">
      <c r="A116" s="9"/>
      <c r="B116" s="85" t="s">
        <v>64</v>
      </c>
      <c r="C116" s="86" t="s">
        <v>52</v>
      </c>
      <c r="D116" s="59">
        <v>7.0</v>
      </c>
      <c r="E116" s="87">
        <f t="shared" ref="E116:E121" si="37">D116+F116</f>
        <v>7</v>
      </c>
      <c r="F116" s="76"/>
      <c r="G116" s="30">
        <v>30.0</v>
      </c>
      <c r="H116" s="97">
        <f>($G$6+(E116/2)+$AB$6+(Z116/2)+$L$2)*0.4</f>
        <v>25.8</v>
      </c>
      <c r="I116" s="30">
        <f>1-(E117/1000)</f>
        <v>0.87</v>
      </c>
      <c r="J116" s="88">
        <f>ROUND(POWER(E116/100,0.5),3)</f>
        <v>0.265</v>
      </c>
      <c r="K116" s="62">
        <f>(G118*J116*I116*N112)</f>
        <v>4.611</v>
      </c>
      <c r="L116" s="62">
        <f>1+(L114-1)*(1-E120/500)</f>
        <v>1.1335</v>
      </c>
      <c r="M116" s="44">
        <f>M114+((1-M114)*0.5*E120/400)</f>
        <v>0.8603125</v>
      </c>
      <c r="N116" s="44">
        <f>(E119+(Q116*N114))/1.3</f>
        <v>31.67307692</v>
      </c>
      <c r="O116" s="44">
        <f t="shared" ref="O116:P116" si="35">(D119+(P116*O114))/1.3</f>
        <v>34.61538462</v>
      </c>
      <c r="P116" s="44">
        <f t="shared" si="35"/>
        <v>37.55769231</v>
      </c>
      <c r="Q116" s="88">
        <f>3*(E118/100)</f>
        <v>2.55</v>
      </c>
      <c r="R116" s="62">
        <f>E118*1*(VLOOKUP(B116,SPIN!$M$27:$N$40,2,FALSE))</f>
        <v>7650</v>
      </c>
      <c r="S116" s="30">
        <f>E118*2*3.14/60</f>
        <v>8.896666667</v>
      </c>
      <c r="T116" s="45">
        <f t="shared" ref="T116:V116" si="36">$S116*T114*8</f>
        <v>7.117333333</v>
      </c>
      <c r="U116" s="45">
        <f t="shared" si="36"/>
        <v>94.66053333</v>
      </c>
      <c r="V116" s="46">
        <f t="shared" si="36"/>
        <v>-87.5432</v>
      </c>
    </row>
    <row r="117">
      <c r="A117" s="9"/>
      <c r="B117" s="89"/>
      <c r="C117" s="86" t="s">
        <v>54</v>
      </c>
      <c r="D117" s="21">
        <v>130.0</v>
      </c>
      <c r="E117" s="87">
        <f t="shared" si="37"/>
        <v>130</v>
      </c>
      <c r="F117" s="42"/>
      <c r="G117" s="30" t="s">
        <v>55</v>
      </c>
      <c r="H117" s="75"/>
      <c r="I117" s="23"/>
      <c r="J117" s="75"/>
      <c r="K117" s="75"/>
      <c r="L117" s="75"/>
      <c r="M117" s="75"/>
      <c r="N117" s="75"/>
      <c r="O117" s="75"/>
      <c r="P117" s="75"/>
      <c r="Q117" s="75"/>
      <c r="R117" s="75"/>
      <c r="S117" s="23"/>
      <c r="T117" s="27"/>
      <c r="U117" s="27"/>
      <c r="V117" s="31"/>
    </row>
    <row r="118">
      <c r="A118" s="9"/>
      <c r="B118" s="89"/>
      <c r="C118" s="86" t="s">
        <v>57</v>
      </c>
      <c r="D118" s="21">
        <v>85.0</v>
      </c>
      <c r="E118" s="87">
        <f t="shared" si="37"/>
        <v>85</v>
      </c>
      <c r="F118" s="42"/>
      <c r="G118" s="30">
        <v>20.0</v>
      </c>
      <c r="H118" s="75"/>
      <c r="I118" s="23"/>
      <c r="J118" s="75"/>
      <c r="K118" s="75"/>
      <c r="L118" s="75"/>
      <c r="M118" s="75"/>
      <c r="N118" s="75"/>
      <c r="O118" s="75"/>
      <c r="P118" s="75"/>
      <c r="Q118" s="75"/>
      <c r="R118" s="75"/>
      <c r="S118" s="23"/>
      <c r="T118" s="27"/>
      <c r="U118" s="27"/>
      <c r="V118" s="31"/>
    </row>
    <row r="119">
      <c r="A119" s="9"/>
      <c r="B119" s="89"/>
      <c r="C119" s="86" t="s">
        <v>59</v>
      </c>
      <c r="D119" s="59">
        <v>45.0</v>
      </c>
      <c r="E119" s="87">
        <f t="shared" si="37"/>
        <v>45</v>
      </c>
      <c r="F119" s="49"/>
      <c r="G119" s="50"/>
      <c r="H119" s="75"/>
      <c r="I119" s="23"/>
      <c r="J119" s="75"/>
      <c r="K119" s="75"/>
      <c r="L119" s="75"/>
      <c r="M119" s="75"/>
      <c r="N119" s="75"/>
      <c r="O119" s="75"/>
      <c r="P119" s="75"/>
      <c r="Q119" s="75"/>
      <c r="R119" s="75"/>
      <c r="S119" s="23"/>
      <c r="T119" s="27"/>
      <c r="U119" s="27"/>
      <c r="V119" s="31"/>
    </row>
    <row r="120">
      <c r="A120" s="9"/>
      <c r="B120" s="89"/>
      <c r="C120" s="86" t="s">
        <v>61</v>
      </c>
      <c r="D120" s="59">
        <v>55.0</v>
      </c>
      <c r="E120" s="87">
        <f t="shared" si="37"/>
        <v>55</v>
      </c>
      <c r="F120" s="76"/>
      <c r="G120" s="50"/>
      <c r="H120" s="75"/>
      <c r="I120" s="23"/>
      <c r="J120" s="75"/>
      <c r="K120" s="75"/>
      <c r="L120" s="75"/>
      <c r="M120" s="75"/>
      <c r="N120" s="75"/>
      <c r="O120" s="75"/>
      <c r="P120" s="75"/>
      <c r="Q120" s="75"/>
      <c r="R120" s="75"/>
      <c r="S120" s="23"/>
      <c r="T120" s="27"/>
      <c r="U120" s="27"/>
      <c r="V120" s="31"/>
    </row>
    <row r="121">
      <c r="A121" s="9"/>
      <c r="B121" s="90"/>
      <c r="C121" s="91" t="s">
        <v>62</v>
      </c>
      <c r="D121" s="60">
        <v>100.0</v>
      </c>
      <c r="E121" s="92">
        <f t="shared" si="37"/>
        <v>100</v>
      </c>
      <c r="F121" s="61"/>
      <c r="G121" s="55"/>
      <c r="H121" s="93"/>
      <c r="I121" s="56"/>
      <c r="J121" s="93"/>
      <c r="K121" s="93"/>
      <c r="L121" s="93"/>
      <c r="M121" s="93"/>
      <c r="N121" s="93"/>
      <c r="O121" s="93"/>
      <c r="P121" s="93"/>
      <c r="Q121" s="93"/>
      <c r="R121" s="93"/>
      <c r="S121" s="56"/>
      <c r="T121" s="57"/>
      <c r="U121" s="57"/>
      <c r="V121" s="58"/>
    </row>
    <row r="122">
      <c r="A122" s="9"/>
      <c r="B122" s="64"/>
      <c r="C122" s="65"/>
      <c r="D122" s="66"/>
      <c r="E122" s="66"/>
      <c r="F122" s="67"/>
      <c r="G122" s="13"/>
      <c r="H122" s="68" t="s">
        <v>27</v>
      </c>
      <c r="I122" s="14"/>
      <c r="J122" s="68"/>
      <c r="K122" s="68" t="s">
        <v>28</v>
      </c>
      <c r="L122" s="69">
        <f>RANDBETWEEN(0,3)</f>
        <v>1</v>
      </c>
      <c r="M122" s="68" t="s">
        <v>29</v>
      </c>
      <c r="N122" s="70">
        <v>1.0</v>
      </c>
      <c r="O122" s="68"/>
      <c r="P122" s="68"/>
      <c r="Q122" s="68"/>
      <c r="R122" s="68"/>
      <c r="S122" s="16"/>
      <c r="T122" s="17"/>
      <c r="U122" s="17"/>
      <c r="V122" s="18"/>
    </row>
    <row r="123">
      <c r="A123" s="9"/>
      <c r="B123" s="71"/>
      <c r="C123" s="72"/>
      <c r="D123" s="73"/>
      <c r="E123" s="73"/>
      <c r="F123" s="74"/>
      <c r="G123" s="22"/>
      <c r="H123" s="75"/>
      <c r="I123" s="23"/>
      <c r="J123" s="75"/>
      <c r="K123" s="75"/>
      <c r="L123" s="76" t="s">
        <v>33</v>
      </c>
      <c r="M123" s="76" t="s">
        <v>33</v>
      </c>
      <c r="N123" s="75"/>
      <c r="O123" s="75"/>
      <c r="P123" s="75"/>
      <c r="Q123" s="75"/>
      <c r="R123" s="75"/>
      <c r="S123" s="25"/>
      <c r="T123" s="26"/>
      <c r="U123" s="27" t="s">
        <v>34</v>
      </c>
      <c r="V123" s="28"/>
    </row>
    <row r="124">
      <c r="A124" s="9"/>
      <c r="B124" s="71"/>
      <c r="C124" s="72"/>
      <c r="D124" s="73"/>
      <c r="E124" s="73"/>
      <c r="F124" s="77" t="s">
        <v>31</v>
      </c>
      <c r="G124" s="30"/>
      <c r="H124" s="75"/>
      <c r="I124" s="23"/>
      <c r="J124" s="75"/>
      <c r="K124" s="75"/>
      <c r="L124" s="78">
        <f>VLOOKUP(L123,RECOVERY!$AA$8:$AP$10,14,FALSE)</f>
        <v>1.15</v>
      </c>
      <c r="M124" s="78">
        <f>VLOOKUP(M123,RECOVERY!$AA$27:$AP$29,14,FALSE)</f>
        <v>0.85</v>
      </c>
      <c r="N124" s="23">
        <v>-1.5</v>
      </c>
      <c r="O124" s="23">
        <v>0.0</v>
      </c>
      <c r="P124" s="23">
        <v>1.5</v>
      </c>
      <c r="Q124" s="75"/>
      <c r="R124" s="78" t="s">
        <v>35</v>
      </c>
      <c r="S124" s="25"/>
      <c r="T124" s="27">
        <v>0.1</v>
      </c>
      <c r="U124" s="27">
        <v>1.33</v>
      </c>
      <c r="V124" s="31">
        <v>-1.23</v>
      </c>
    </row>
    <row r="125">
      <c r="A125" s="9"/>
      <c r="B125" s="79" t="s">
        <v>6</v>
      </c>
      <c r="C125" s="80"/>
      <c r="D125" s="81" t="s">
        <v>36</v>
      </c>
      <c r="E125" s="82" t="s">
        <v>37</v>
      </c>
      <c r="F125" s="77" t="str">
        <f>SUM(F126:F131)&amp;"/25"</f>
        <v>0/25</v>
      </c>
      <c r="G125" s="30" t="s">
        <v>38</v>
      </c>
      <c r="H125" s="83" t="s">
        <v>39</v>
      </c>
      <c r="I125" s="36" t="s">
        <v>40</v>
      </c>
      <c r="J125" s="83" t="s">
        <v>41</v>
      </c>
      <c r="K125" s="83" t="s">
        <v>42</v>
      </c>
      <c r="L125" s="83" t="s">
        <v>43</v>
      </c>
      <c r="M125" s="83" t="s">
        <v>44</v>
      </c>
      <c r="N125" s="36" t="s">
        <v>45</v>
      </c>
      <c r="O125" s="36" t="s">
        <v>46</v>
      </c>
      <c r="P125" s="36" t="s">
        <v>47</v>
      </c>
      <c r="Q125" s="84" t="s">
        <v>48</v>
      </c>
      <c r="R125" s="36" t="s">
        <v>49</v>
      </c>
      <c r="S125" s="30" t="s">
        <v>50</v>
      </c>
      <c r="T125" s="37" t="s">
        <v>51</v>
      </c>
      <c r="U125" s="37" t="s">
        <v>45</v>
      </c>
      <c r="V125" s="38" t="s">
        <v>47</v>
      </c>
    </row>
    <row r="126">
      <c r="A126" s="9"/>
      <c r="B126" s="85" t="s">
        <v>65</v>
      </c>
      <c r="C126" s="86" t="s">
        <v>52</v>
      </c>
      <c r="D126" s="59">
        <v>7.0</v>
      </c>
      <c r="E126" s="87">
        <f t="shared" ref="E126:E131" si="40">D126+F126</f>
        <v>7</v>
      </c>
      <c r="F126" s="76"/>
      <c r="G126" s="30">
        <v>30.0</v>
      </c>
      <c r="H126" s="97">
        <f>($G$6+(E126/2)+$AB$6+(Z126/2)+$L$2)*0.4</f>
        <v>25.8</v>
      </c>
      <c r="I126" s="30">
        <f>1-(E127/1000)</f>
        <v>0.87</v>
      </c>
      <c r="J126" s="88">
        <f>ROUND(POWER(E126/100,0.5),3)</f>
        <v>0.265</v>
      </c>
      <c r="K126" s="62">
        <f>(G128*J126*I126*N122)</f>
        <v>4.611</v>
      </c>
      <c r="L126" s="62">
        <f>1+(L124-1)*(1-E130/500)</f>
        <v>1.129</v>
      </c>
      <c r="M126" s="44">
        <f>M124+((1-M124)*0.5*E130/400)</f>
        <v>0.863125</v>
      </c>
      <c r="N126" s="44">
        <f>(E129+(Q126*N124))/1.3</f>
        <v>31.15384615</v>
      </c>
      <c r="O126" s="44">
        <f t="shared" ref="O126:P126" si="38">(D129+(P126*O124))/1.3</f>
        <v>34.61538462</v>
      </c>
      <c r="P126" s="44">
        <f t="shared" si="38"/>
        <v>38.07692308</v>
      </c>
      <c r="Q126" s="88">
        <f>3*(E128/100)</f>
        <v>3</v>
      </c>
      <c r="R126" s="62">
        <f>E128*1*(VLOOKUP(B126,SPIN!$M$27:$N$40,2,FALSE))</f>
        <v>9000</v>
      </c>
      <c r="S126" s="30">
        <f>E128*2*3.14/60</f>
        <v>10.46666667</v>
      </c>
      <c r="T126" s="45">
        <f t="shared" ref="T126:V126" si="39">$S126*T124*8</f>
        <v>8.373333333</v>
      </c>
      <c r="U126" s="45">
        <f t="shared" si="39"/>
        <v>111.3653333</v>
      </c>
      <c r="V126" s="46">
        <f t="shared" si="39"/>
        <v>-102.992</v>
      </c>
    </row>
    <row r="127">
      <c r="A127" s="9"/>
      <c r="B127" s="89"/>
      <c r="C127" s="86" t="s">
        <v>54</v>
      </c>
      <c r="D127" s="21">
        <v>130.0</v>
      </c>
      <c r="E127" s="87">
        <f t="shared" si="40"/>
        <v>130</v>
      </c>
      <c r="F127" s="76"/>
      <c r="G127" s="30" t="s">
        <v>55</v>
      </c>
      <c r="H127" s="75"/>
      <c r="I127" s="23"/>
      <c r="J127" s="75"/>
      <c r="K127" s="75"/>
      <c r="L127" s="75"/>
      <c r="M127" s="75"/>
      <c r="N127" s="75"/>
      <c r="O127" s="75"/>
      <c r="P127" s="75"/>
      <c r="Q127" s="75"/>
      <c r="R127" s="75"/>
      <c r="S127" s="23"/>
      <c r="T127" s="27"/>
      <c r="U127" s="27"/>
      <c r="V127" s="31"/>
    </row>
    <row r="128">
      <c r="A128" s="9"/>
      <c r="B128" s="89"/>
      <c r="C128" s="86" t="s">
        <v>57</v>
      </c>
      <c r="D128" s="21">
        <v>100.0</v>
      </c>
      <c r="E128" s="87">
        <f t="shared" si="40"/>
        <v>100</v>
      </c>
      <c r="F128" s="76"/>
      <c r="G128" s="30">
        <v>20.0</v>
      </c>
      <c r="H128" s="75"/>
      <c r="I128" s="23"/>
      <c r="J128" s="75"/>
      <c r="K128" s="75"/>
      <c r="L128" s="75"/>
      <c r="M128" s="75"/>
      <c r="N128" s="75"/>
      <c r="O128" s="75"/>
      <c r="P128" s="75"/>
      <c r="Q128" s="75"/>
      <c r="R128" s="75"/>
      <c r="S128" s="23"/>
      <c r="T128" s="27"/>
      <c r="U128" s="27"/>
      <c r="V128" s="31"/>
    </row>
    <row r="129">
      <c r="A129" s="9"/>
      <c r="B129" s="89"/>
      <c r="C129" s="86" t="s">
        <v>59</v>
      </c>
      <c r="D129" s="59">
        <v>45.0</v>
      </c>
      <c r="E129" s="87">
        <f t="shared" si="40"/>
        <v>45</v>
      </c>
      <c r="F129" s="49"/>
      <c r="G129" s="50"/>
      <c r="H129" s="75"/>
      <c r="I129" s="23"/>
      <c r="J129" s="75"/>
      <c r="K129" s="75"/>
      <c r="L129" s="75"/>
      <c r="M129" s="75"/>
      <c r="N129" s="75"/>
      <c r="O129" s="75"/>
      <c r="P129" s="75"/>
      <c r="Q129" s="75"/>
      <c r="R129" s="75"/>
      <c r="S129" s="23"/>
      <c r="T129" s="27"/>
      <c r="U129" s="27"/>
      <c r="V129" s="31"/>
    </row>
    <row r="130">
      <c r="A130" s="9"/>
      <c r="B130" s="89"/>
      <c r="C130" s="86" t="s">
        <v>61</v>
      </c>
      <c r="D130" s="59">
        <f>D140</f>
        <v>70</v>
      </c>
      <c r="E130" s="87">
        <f t="shared" si="40"/>
        <v>70</v>
      </c>
      <c r="F130" s="76"/>
      <c r="G130" s="50"/>
      <c r="H130" s="75"/>
      <c r="I130" s="23"/>
      <c r="J130" s="75"/>
      <c r="K130" s="75"/>
      <c r="L130" s="75"/>
      <c r="M130" s="75"/>
      <c r="N130" s="75"/>
      <c r="O130" s="75"/>
      <c r="P130" s="75"/>
      <c r="Q130" s="75"/>
      <c r="R130" s="75"/>
      <c r="S130" s="23"/>
      <c r="T130" s="27"/>
      <c r="U130" s="27"/>
      <c r="V130" s="31"/>
    </row>
    <row r="131">
      <c r="A131" s="9"/>
      <c r="B131" s="90"/>
      <c r="C131" s="91" t="s">
        <v>62</v>
      </c>
      <c r="D131" s="60">
        <v>100.0</v>
      </c>
      <c r="E131" s="92">
        <f t="shared" si="40"/>
        <v>100</v>
      </c>
      <c r="F131" s="61"/>
      <c r="G131" s="55"/>
      <c r="H131" s="93"/>
      <c r="I131" s="56"/>
      <c r="J131" s="93"/>
      <c r="K131" s="93"/>
      <c r="L131" s="93"/>
      <c r="M131" s="93"/>
      <c r="N131" s="93"/>
      <c r="O131" s="93"/>
      <c r="P131" s="93"/>
      <c r="Q131" s="93"/>
      <c r="R131" s="93"/>
      <c r="S131" s="56"/>
      <c r="T131" s="57"/>
      <c r="U131" s="57"/>
      <c r="V131" s="58"/>
    </row>
    <row r="132">
      <c r="A132" s="9"/>
      <c r="B132" s="64"/>
      <c r="C132" s="65"/>
      <c r="D132" s="66"/>
      <c r="E132" s="66"/>
      <c r="F132" s="67"/>
      <c r="G132" s="13"/>
      <c r="H132" s="68" t="s">
        <v>27</v>
      </c>
      <c r="I132" s="14"/>
      <c r="J132" s="68"/>
      <c r="K132" s="68" t="s">
        <v>28</v>
      </c>
      <c r="L132" s="69">
        <f>RANDBETWEEN(0,3)</f>
        <v>2</v>
      </c>
      <c r="M132" s="68" t="s">
        <v>29</v>
      </c>
      <c r="N132" s="98">
        <v>1.0</v>
      </c>
      <c r="O132" s="68"/>
      <c r="P132" s="68"/>
      <c r="Q132" s="68"/>
      <c r="R132" s="68"/>
      <c r="S132" s="16"/>
      <c r="T132" s="17"/>
      <c r="U132" s="17"/>
      <c r="V132" s="18"/>
    </row>
    <row r="133">
      <c r="A133" s="9"/>
      <c r="B133" s="71"/>
      <c r="C133" s="72"/>
      <c r="D133" s="73"/>
      <c r="E133" s="73"/>
      <c r="F133" s="74"/>
      <c r="G133" s="22"/>
      <c r="H133" s="75"/>
      <c r="I133" s="23"/>
      <c r="J133" s="75"/>
      <c r="K133" s="75"/>
      <c r="L133" s="76" t="s">
        <v>33</v>
      </c>
      <c r="M133" s="76" t="s">
        <v>33</v>
      </c>
      <c r="N133" s="75"/>
      <c r="O133" s="75"/>
      <c r="P133" s="75"/>
      <c r="Q133" s="75"/>
      <c r="R133" s="75"/>
      <c r="S133" s="25"/>
      <c r="T133" s="26"/>
      <c r="U133" s="27" t="s">
        <v>34</v>
      </c>
      <c r="V133" s="28"/>
    </row>
    <row r="134">
      <c r="A134" s="9"/>
      <c r="B134" s="71"/>
      <c r="C134" s="72"/>
      <c r="D134" s="73"/>
      <c r="E134" s="73"/>
      <c r="F134" s="77" t="s">
        <v>31</v>
      </c>
      <c r="G134" s="30"/>
      <c r="H134" s="75"/>
      <c r="I134" s="23"/>
      <c r="J134" s="75"/>
      <c r="K134" s="75"/>
      <c r="L134" s="78">
        <f>VLOOKUP(L133,RECOVERY!$AA$8:$AP$10,15,FALSE)</f>
        <v>1.15</v>
      </c>
      <c r="M134" s="78">
        <f>VLOOKUP(M133,RECOVERY!$AA$27:$AP$29,15,FALSE)</f>
        <v>0.85</v>
      </c>
      <c r="N134" s="23">
        <v>-1.5</v>
      </c>
      <c r="O134" s="23">
        <v>0.0</v>
      </c>
      <c r="P134" s="23">
        <v>1.5</v>
      </c>
      <c r="Q134" s="75"/>
      <c r="R134" s="78" t="s">
        <v>35</v>
      </c>
      <c r="S134" s="25"/>
      <c r="T134" s="27">
        <v>0.1</v>
      </c>
      <c r="U134" s="27">
        <v>1.33</v>
      </c>
      <c r="V134" s="31">
        <v>-1.23</v>
      </c>
    </row>
    <row r="135">
      <c r="A135" s="9"/>
      <c r="B135" s="79" t="s">
        <v>6</v>
      </c>
      <c r="C135" s="80"/>
      <c r="D135" s="81" t="s">
        <v>36</v>
      </c>
      <c r="E135" s="82" t="s">
        <v>37</v>
      </c>
      <c r="F135" s="77" t="str">
        <f>SUM(F136:F141)&amp;"/25"</f>
        <v>0/25</v>
      </c>
      <c r="G135" s="30" t="s">
        <v>38</v>
      </c>
      <c r="H135" s="83" t="s">
        <v>39</v>
      </c>
      <c r="I135" s="36" t="s">
        <v>40</v>
      </c>
      <c r="J135" s="83" t="s">
        <v>41</v>
      </c>
      <c r="K135" s="83" t="s">
        <v>42</v>
      </c>
      <c r="L135" s="83" t="s">
        <v>43</v>
      </c>
      <c r="M135" s="83" t="s">
        <v>44</v>
      </c>
      <c r="N135" s="36" t="s">
        <v>45</v>
      </c>
      <c r="O135" s="36" t="s">
        <v>46</v>
      </c>
      <c r="P135" s="36" t="s">
        <v>47</v>
      </c>
      <c r="Q135" s="84" t="s">
        <v>48</v>
      </c>
      <c r="R135" s="36" t="s">
        <v>49</v>
      </c>
      <c r="S135" s="30" t="s">
        <v>50</v>
      </c>
      <c r="T135" s="37" t="s">
        <v>51</v>
      </c>
      <c r="U135" s="37" t="s">
        <v>45</v>
      </c>
      <c r="V135" s="38" t="s">
        <v>47</v>
      </c>
    </row>
    <row r="136">
      <c r="A136" s="9"/>
      <c r="B136" s="85" t="s">
        <v>66</v>
      </c>
      <c r="C136" s="86" t="s">
        <v>52</v>
      </c>
      <c r="D136" s="59">
        <v>7.0</v>
      </c>
      <c r="E136" s="87">
        <f t="shared" ref="E136:E141" si="43">D136+F136</f>
        <v>7</v>
      </c>
      <c r="F136" s="76"/>
      <c r="G136" s="30">
        <v>30.0</v>
      </c>
      <c r="H136" s="97">
        <f>($G$6+(E136/2)+$AB$6+(Z136/2)+$L$2)*0.4</f>
        <v>25.8</v>
      </c>
      <c r="I136" s="30">
        <f>1-(E137/1000)</f>
        <v>0.87</v>
      </c>
      <c r="J136" s="88">
        <f>ROUND(POWER(E136/100,0.5),3)</f>
        <v>0.265</v>
      </c>
      <c r="K136" s="62">
        <f>(G138*J136*I136*N132)</f>
        <v>4.611</v>
      </c>
      <c r="L136" s="62">
        <f>1+(L134-1)*(1-E140/500)</f>
        <v>1.129</v>
      </c>
      <c r="M136" s="44">
        <f>M134+((1-M134)*0.5*E140/400)</f>
        <v>0.863125</v>
      </c>
      <c r="N136" s="44">
        <f>(E139+(Q136*N134))/1.3</f>
        <v>39.11538462</v>
      </c>
      <c r="O136" s="44">
        <f t="shared" ref="O136:P136" si="41">(D139+(P136*O134))/1.3</f>
        <v>41.53846154</v>
      </c>
      <c r="P136" s="44">
        <f t="shared" si="41"/>
        <v>43.96153846</v>
      </c>
      <c r="Q136" s="88">
        <f>3*(E138/100)</f>
        <v>2.1</v>
      </c>
      <c r="R136" s="62">
        <f>E138*1*(VLOOKUP(B136,SPIN!$M$27:$N$40,2,FALSE))</f>
        <v>6300</v>
      </c>
      <c r="S136" s="30">
        <f>E138*2*3.14/60</f>
        <v>7.326666667</v>
      </c>
      <c r="T136" s="45">
        <f t="shared" ref="T136:V136" si="42">$S136*T134*8</f>
        <v>5.861333333</v>
      </c>
      <c r="U136" s="45">
        <f t="shared" si="42"/>
        <v>77.95573333</v>
      </c>
      <c r="V136" s="46">
        <f t="shared" si="42"/>
        <v>-72.0944</v>
      </c>
    </row>
    <row r="137">
      <c r="A137" s="9"/>
      <c r="B137" s="89"/>
      <c r="C137" s="86" t="s">
        <v>54</v>
      </c>
      <c r="D137" s="21">
        <f>D127</f>
        <v>130</v>
      </c>
      <c r="E137" s="87">
        <f t="shared" si="43"/>
        <v>130</v>
      </c>
      <c r="F137" s="42"/>
      <c r="G137" s="30" t="s">
        <v>55</v>
      </c>
      <c r="H137" s="75"/>
      <c r="I137" s="23"/>
      <c r="J137" s="75"/>
      <c r="K137" s="75"/>
      <c r="L137" s="75"/>
      <c r="M137" s="75"/>
      <c r="N137" s="75"/>
      <c r="O137" s="75"/>
      <c r="P137" s="75"/>
      <c r="Q137" s="75"/>
      <c r="R137" s="75"/>
      <c r="S137" s="23"/>
      <c r="T137" s="27"/>
      <c r="U137" s="27"/>
      <c r="V137" s="31"/>
    </row>
    <row r="138">
      <c r="A138" s="9"/>
      <c r="B138" s="89"/>
      <c r="C138" s="86" t="s">
        <v>57</v>
      </c>
      <c r="D138" s="21">
        <v>70.0</v>
      </c>
      <c r="E138" s="87">
        <f t="shared" si="43"/>
        <v>70</v>
      </c>
      <c r="F138" s="76"/>
      <c r="G138" s="30">
        <v>20.0</v>
      </c>
      <c r="H138" s="75"/>
      <c r="I138" s="23"/>
      <c r="J138" s="75"/>
      <c r="K138" s="75"/>
      <c r="L138" s="75"/>
      <c r="M138" s="75"/>
      <c r="N138" s="75"/>
      <c r="O138" s="75"/>
      <c r="P138" s="75"/>
      <c r="Q138" s="75"/>
      <c r="R138" s="75"/>
      <c r="S138" s="23"/>
      <c r="T138" s="27"/>
      <c r="U138" s="27"/>
      <c r="V138" s="31"/>
    </row>
    <row r="139">
      <c r="A139" s="9"/>
      <c r="B139" s="89"/>
      <c r="C139" s="86" t="s">
        <v>59</v>
      </c>
      <c r="D139" s="59">
        <v>54.0</v>
      </c>
      <c r="E139" s="87">
        <f t="shared" si="43"/>
        <v>54</v>
      </c>
      <c r="F139" s="49"/>
      <c r="G139" s="50"/>
      <c r="H139" s="75"/>
      <c r="I139" s="23"/>
      <c r="J139" s="75"/>
      <c r="K139" s="75"/>
      <c r="L139" s="75"/>
      <c r="M139" s="75"/>
      <c r="N139" s="75"/>
      <c r="O139" s="75"/>
      <c r="P139" s="75"/>
      <c r="Q139" s="75"/>
      <c r="R139" s="75"/>
      <c r="S139" s="23"/>
      <c r="T139" s="27"/>
      <c r="U139" s="27"/>
      <c r="V139" s="31"/>
    </row>
    <row r="140">
      <c r="A140" s="9"/>
      <c r="B140" s="89"/>
      <c r="C140" s="86" t="s">
        <v>61</v>
      </c>
      <c r="D140" s="59">
        <v>70.0</v>
      </c>
      <c r="E140" s="87">
        <f t="shared" si="43"/>
        <v>70</v>
      </c>
      <c r="F140" s="76"/>
      <c r="G140" s="50"/>
      <c r="H140" s="75"/>
      <c r="I140" s="23"/>
      <c r="J140" s="75"/>
      <c r="K140" s="75"/>
      <c r="L140" s="75"/>
      <c r="M140" s="75"/>
      <c r="N140" s="75"/>
      <c r="O140" s="75"/>
      <c r="P140" s="75"/>
      <c r="Q140" s="75"/>
      <c r="R140" s="75"/>
      <c r="S140" s="23"/>
      <c r="T140" s="27"/>
      <c r="U140" s="27"/>
      <c r="V140" s="31"/>
    </row>
    <row r="141">
      <c r="A141" s="9"/>
      <c r="B141" s="90"/>
      <c r="C141" s="91" t="s">
        <v>62</v>
      </c>
      <c r="D141" s="60">
        <v>100.0</v>
      </c>
      <c r="E141" s="92">
        <f t="shared" si="43"/>
        <v>100</v>
      </c>
      <c r="F141" s="61"/>
      <c r="G141" s="55"/>
      <c r="H141" s="93"/>
      <c r="I141" s="56"/>
      <c r="J141" s="93"/>
      <c r="K141" s="93"/>
      <c r="L141" s="93"/>
      <c r="M141" s="93"/>
      <c r="N141" s="93"/>
      <c r="O141" s="93"/>
      <c r="P141" s="93"/>
      <c r="Q141" s="93"/>
      <c r="R141" s="93"/>
      <c r="S141" s="56"/>
      <c r="T141" s="57"/>
      <c r="U141" s="57"/>
      <c r="V141" s="58"/>
    </row>
    <row r="142">
      <c r="A142" s="9"/>
      <c r="B142" s="64"/>
      <c r="C142" s="65"/>
      <c r="D142" s="66"/>
      <c r="E142" s="66"/>
      <c r="F142" s="67"/>
      <c r="G142" s="13"/>
      <c r="H142" s="68" t="s">
        <v>27</v>
      </c>
      <c r="I142" s="14"/>
      <c r="J142" s="68"/>
      <c r="K142" s="68" t="s">
        <v>28</v>
      </c>
      <c r="L142" s="69">
        <f>RANDBETWEEN(0,3)</f>
        <v>0</v>
      </c>
      <c r="M142" s="68" t="s">
        <v>29</v>
      </c>
      <c r="N142" s="70">
        <v>1.0</v>
      </c>
      <c r="O142" s="68"/>
      <c r="P142" s="68"/>
      <c r="Q142" s="68"/>
      <c r="R142" s="68"/>
      <c r="S142" s="16"/>
      <c r="T142" s="17"/>
      <c r="U142" s="17"/>
      <c r="V142" s="18"/>
    </row>
    <row r="143">
      <c r="A143" s="9"/>
      <c r="B143" s="71"/>
      <c r="C143" s="72"/>
      <c r="D143" s="73"/>
      <c r="E143" s="73"/>
      <c r="F143" s="74"/>
      <c r="G143" s="22"/>
      <c r="H143" s="75"/>
      <c r="I143" s="23"/>
      <c r="J143" s="75"/>
      <c r="K143" s="75"/>
      <c r="L143" s="76" t="s">
        <v>33</v>
      </c>
      <c r="M143" s="76" t="s">
        <v>33</v>
      </c>
      <c r="N143" s="75"/>
      <c r="O143" s="75"/>
      <c r="P143" s="75"/>
      <c r="Q143" s="75"/>
      <c r="R143" s="75"/>
      <c r="S143" s="25"/>
      <c r="T143" s="26"/>
      <c r="U143" s="27" t="s">
        <v>34</v>
      </c>
      <c r="V143" s="28"/>
    </row>
    <row r="144">
      <c r="A144" s="9"/>
      <c r="B144" s="71"/>
      <c r="C144" s="72"/>
      <c r="D144" s="73"/>
      <c r="E144" s="73"/>
      <c r="F144" s="77" t="s">
        <v>31</v>
      </c>
      <c r="G144" s="30"/>
      <c r="H144" s="75"/>
      <c r="I144" s="23"/>
      <c r="J144" s="75"/>
      <c r="K144" s="75"/>
      <c r="L144" s="78">
        <f>VLOOKUP(L143,RECOVERY!$AA$8:$AP$10,2,FALSE)</f>
        <v>1.4</v>
      </c>
      <c r="M144" s="78">
        <f>VLOOKUP(M143,RECOVERY!$AA$27:$AP$29,2,FALSE)</f>
        <v>0.65</v>
      </c>
      <c r="N144" s="78">
        <v>-1.0</v>
      </c>
      <c r="O144" s="23">
        <v>0.0</v>
      </c>
      <c r="P144" s="78">
        <v>1.0</v>
      </c>
      <c r="Q144" s="75"/>
      <c r="R144" s="78" t="s">
        <v>35</v>
      </c>
      <c r="S144" s="25"/>
      <c r="T144" s="27">
        <v>0.1</v>
      </c>
      <c r="U144" s="27">
        <v>1.33</v>
      </c>
      <c r="V144" s="31">
        <v>-1.23</v>
      </c>
    </row>
    <row r="145">
      <c r="A145" s="9"/>
      <c r="B145" s="79" t="s">
        <v>6</v>
      </c>
      <c r="C145" s="80"/>
      <c r="D145" s="81" t="s">
        <v>36</v>
      </c>
      <c r="E145" s="82" t="s">
        <v>37</v>
      </c>
      <c r="F145" s="77" t="str">
        <f>SUM(F146:F151)&amp;"/25"</f>
        <v>0/25</v>
      </c>
      <c r="G145" s="30" t="s">
        <v>38</v>
      </c>
      <c r="H145" s="83" t="s">
        <v>39</v>
      </c>
      <c r="I145" s="36" t="s">
        <v>40</v>
      </c>
      <c r="J145" s="83" t="s">
        <v>41</v>
      </c>
      <c r="K145" s="83" t="s">
        <v>42</v>
      </c>
      <c r="L145" s="83" t="s">
        <v>43</v>
      </c>
      <c r="M145" s="83" t="s">
        <v>44</v>
      </c>
      <c r="N145" s="83" t="s">
        <v>45</v>
      </c>
      <c r="O145" s="36" t="s">
        <v>46</v>
      </c>
      <c r="P145" s="83" t="s">
        <v>47</v>
      </c>
      <c r="Q145" s="84" t="s">
        <v>48</v>
      </c>
      <c r="R145" s="36" t="s">
        <v>49</v>
      </c>
      <c r="S145" s="30" t="s">
        <v>50</v>
      </c>
      <c r="T145" s="37" t="s">
        <v>51</v>
      </c>
      <c r="U145" s="37" t="s">
        <v>45</v>
      </c>
      <c r="V145" s="38" t="s">
        <v>47</v>
      </c>
    </row>
    <row r="146">
      <c r="A146" s="9"/>
      <c r="B146" s="85" t="s">
        <v>67</v>
      </c>
      <c r="C146" s="86" t="s">
        <v>52</v>
      </c>
      <c r="D146" s="59">
        <v>8.0</v>
      </c>
      <c r="E146" s="87">
        <f t="shared" ref="E146:E151" si="45">D146+F146</f>
        <v>8</v>
      </c>
      <c r="F146" s="76"/>
      <c r="G146" s="30">
        <v>30.0</v>
      </c>
      <c r="H146" s="99">
        <f>E146</f>
        <v>8</v>
      </c>
      <c r="I146" s="30">
        <f>1-(E147/1000)</f>
        <v>0.865</v>
      </c>
      <c r="J146" s="88">
        <f>ROUND(POWER(E146/100,0.5),3)</f>
        <v>0.283</v>
      </c>
      <c r="K146" s="62">
        <f>(G148*J146*I146*N142)</f>
        <v>1.713565</v>
      </c>
      <c r="L146" s="99" t="s">
        <v>68</v>
      </c>
      <c r="M146" s="99" t="s">
        <v>68</v>
      </c>
      <c r="N146" s="99" t="s">
        <v>68</v>
      </c>
      <c r="O146" s="44" t="str">
        <f>(D149+(P146*O144))/2</f>
        <v>#VALUE!</v>
      </c>
      <c r="P146" s="99" t="s">
        <v>68</v>
      </c>
      <c r="Q146" s="88">
        <f>3*(E148/100)</f>
        <v>0.03</v>
      </c>
      <c r="R146" s="62" t="str">
        <f>E148*1*(VLOOKUP(B146,SPIN!$M$27:$N$40,2,FALSE))</f>
        <v>#N/A</v>
      </c>
      <c r="S146" s="30">
        <f>E148*2*3.14/60</f>
        <v>0.1046666667</v>
      </c>
      <c r="T146" s="45">
        <f t="shared" ref="T146:V146" si="44">$S146*T144*8</f>
        <v>0.08373333333</v>
      </c>
      <c r="U146" s="45">
        <f t="shared" si="44"/>
        <v>1.113653333</v>
      </c>
      <c r="V146" s="46">
        <f t="shared" si="44"/>
        <v>-1.02992</v>
      </c>
    </row>
    <row r="147">
      <c r="A147" s="9"/>
      <c r="B147" s="89"/>
      <c r="C147" s="86" t="s">
        <v>54</v>
      </c>
      <c r="D147" s="21">
        <f>D137+5</f>
        <v>135</v>
      </c>
      <c r="E147" s="87">
        <f t="shared" si="45"/>
        <v>135</v>
      </c>
      <c r="F147" s="76"/>
      <c r="G147" s="30" t="s">
        <v>55</v>
      </c>
      <c r="H147" s="75"/>
      <c r="I147" s="23"/>
      <c r="J147" s="75"/>
      <c r="K147" s="75"/>
      <c r="L147" s="75"/>
      <c r="M147" s="75"/>
      <c r="N147" s="75"/>
      <c r="O147" s="75"/>
      <c r="P147" s="75"/>
      <c r="Q147" s="75"/>
      <c r="R147" s="75"/>
      <c r="S147" s="75"/>
      <c r="T147" s="100"/>
      <c r="U147" s="100"/>
      <c r="V147" s="101"/>
    </row>
    <row r="148">
      <c r="A148" s="9"/>
      <c r="B148" s="89"/>
      <c r="C148" s="86" t="s">
        <v>57</v>
      </c>
      <c r="D148" s="59">
        <v>1.0</v>
      </c>
      <c r="E148" s="87">
        <f t="shared" si="45"/>
        <v>1</v>
      </c>
      <c r="F148" s="76"/>
      <c r="G148" s="30">
        <v>7.0</v>
      </c>
      <c r="H148" s="75"/>
      <c r="I148" s="23"/>
      <c r="J148" s="75"/>
      <c r="K148" s="75"/>
      <c r="L148" s="75"/>
      <c r="M148" s="75"/>
      <c r="N148" s="75"/>
      <c r="O148" s="75"/>
      <c r="P148" s="75"/>
      <c r="Q148" s="75"/>
      <c r="R148" s="75"/>
      <c r="S148" s="75"/>
      <c r="T148" s="100"/>
      <c r="U148" s="100"/>
      <c r="V148" s="101"/>
    </row>
    <row r="149">
      <c r="A149" s="9"/>
      <c r="B149" s="89"/>
      <c r="C149" s="86" t="s">
        <v>59</v>
      </c>
      <c r="D149" s="59">
        <v>4.0</v>
      </c>
      <c r="E149" s="87">
        <f t="shared" si="45"/>
        <v>4</v>
      </c>
      <c r="F149" s="49"/>
      <c r="G149" s="50"/>
      <c r="H149" s="75"/>
      <c r="I149" s="23"/>
      <c r="J149" s="75"/>
      <c r="K149" s="75"/>
      <c r="L149" s="75"/>
      <c r="M149" s="75"/>
      <c r="N149" s="75"/>
      <c r="O149" s="75"/>
      <c r="P149" s="75"/>
      <c r="Q149" s="75"/>
      <c r="R149" s="75"/>
      <c r="S149" s="75"/>
      <c r="T149" s="100"/>
      <c r="U149" s="100"/>
      <c r="V149" s="101"/>
    </row>
    <row r="150">
      <c r="A150" s="9"/>
      <c r="B150" s="89"/>
      <c r="C150" s="86" t="s">
        <v>61</v>
      </c>
      <c r="D150" s="59">
        <v>1.0</v>
      </c>
      <c r="E150" s="87">
        <f t="shared" si="45"/>
        <v>1</v>
      </c>
      <c r="F150" s="76"/>
      <c r="G150" s="50"/>
      <c r="H150" s="75"/>
      <c r="I150" s="23"/>
      <c r="J150" s="75"/>
      <c r="K150" s="75"/>
      <c r="L150" s="75"/>
      <c r="M150" s="75"/>
      <c r="N150" s="75"/>
      <c r="O150" s="75"/>
      <c r="P150" s="75"/>
      <c r="Q150" s="75"/>
      <c r="R150" s="75"/>
      <c r="S150" s="75"/>
      <c r="T150" s="100"/>
      <c r="U150" s="100"/>
      <c r="V150" s="101"/>
    </row>
    <row r="151">
      <c r="A151" s="9"/>
      <c r="B151" s="90"/>
      <c r="C151" s="91" t="s">
        <v>62</v>
      </c>
      <c r="D151" s="60">
        <v>100.0</v>
      </c>
      <c r="E151" s="92">
        <f t="shared" si="45"/>
        <v>100</v>
      </c>
      <c r="F151" s="61"/>
      <c r="G151" s="55"/>
      <c r="H151" s="93"/>
      <c r="I151" s="56"/>
      <c r="J151" s="93"/>
      <c r="K151" s="93"/>
      <c r="L151" s="93"/>
      <c r="M151" s="93"/>
      <c r="N151" s="93"/>
      <c r="O151" s="93"/>
      <c r="P151" s="93"/>
      <c r="Q151" s="93"/>
      <c r="R151" s="93"/>
      <c r="S151" s="93"/>
      <c r="T151" s="102"/>
      <c r="U151" s="102"/>
      <c r="V151" s="103"/>
    </row>
  </sheetData>
  <dataValidations>
    <dataValidation type="list" allowBlank="1" showErrorMessage="1" sqref="N2 N12 N22 N32 N42 N52 N62 N72 N82 N92 N102 N112 N122 N132 N142">
      <formula1>"0,0.5,1"</formula1>
    </dataValidation>
    <dataValidation type="list" allowBlank="1" showErrorMessage="1" sqref="L3:M3 L13:M13 L23:M23 L33:M33 L43:M43 L53:M53 L63:M63 L73:M73 L83:M83 L93:M93 L103:M103 L113:M113 L123:M123 L133:M133 L143:M143">
      <formula1>"Rough,SemiRough,Bunker"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workbookViewId="0"/>
  </sheetViews>
  <sheetFormatPr customHeight="1" defaultColWidth="12.63" defaultRowHeight="15.75"/>
  <cols>
    <col customWidth="1" min="1" max="1" width="2.88"/>
    <col customWidth="1" min="4" max="4" width="4.0"/>
    <col customWidth="1" min="6" max="6" width="11.38"/>
    <col customWidth="1" min="7" max="7" width="3.13"/>
    <col customWidth="1" min="8" max="8" width="14.63"/>
    <col customWidth="1" min="9" max="9" width="6.63"/>
    <col customWidth="1" min="10" max="10" width="5.63"/>
    <col customWidth="1" min="11" max="11" width="14.13"/>
    <col customWidth="1" min="12" max="12" width="16.13"/>
    <col customWidth="1" min="14" max="14" width="9.0"/>
    <col customWidth="1" min="15" max="16" width="10.38"/>
    <col customWidth="1" min="17" max="17" width="4.5"/>
    <col customWidth="1" min="18" max="18" width="10.38"/>
    <col customWidth="1" min="19" max="19" width="4.5"/>
    <col customWidth="1" min="20" max="22" width="10.13"/>
    <col customWidth="1" min="24" max="24" width="14.5"/>
    <col customWidth="1" min="25" max="25" width="3.88"/>
  </cols>
  <sheetData>
    <row r="2">
      <c r="A2" s="104"/>
      <c r="B2" s="10"/>
      <c r="C2" s="11"/>
      <c r="D2" s="11"/>
      <c r="E2" s="11"/>
      <c r="F2" s="12"/>
      <c r="G2" s="13"/>
      <c r="H2" s="14" t="s">
        <v>27</v>
      </c>
      <c r="I2" s="14"/>
      <c r="J2" s="14"/>
      <c r="K2" s="14" t="s">
        <v>28</v>
      </c>
      <c r="L2" s="14">
        <f>RANDBETWEEN(0,3)</f>
        <v>3</v>
      </c>
      <c r="M2" s="14" t="s">
        <v>29</v>
      </c>
      <c r="N2" s="105">
        <v>1.0</v>
      </c>
      <c r="O2" s="68"/>
      <c r="P2" s="68"/>
      <c r="Q2" s="16"/>
      <c r="R2" s="16"/>
      <c r="S2" s="16"/>
      <c r="T2" s="17"/>
      <c r="U2" s="17"/>
      <c r="V2" s="18"/>
      <c r="X2" s="3" t="s">
        <v>30</v>
      </c>
      <c r="AA2" s="3" t="s">
        <v>31</v>
      </c>
    </row>
    <row r="3">
      <c r="A3" s="104"/>
      <c r="B3" s="19"/>
      <c r="C3" s="20"/>
      <c r="D3" s="20"/>
      <c r="E3" s="20"/>
      <c r="F3" s="21"/>
      <c r="G3" s="22"/>
      <c r="H3" s="23"/>
      <c r="I3" s="23"/>
      <c r="J3" s="23"/>
      <c r="K3" s="23"/>
      <c r="L3" s="24" t="s">
        <v>33</v>
      </c>
      <c r="M3" s="24" t="s">
        <v>33</v>
      </c>
      <c r="N3" s="75"/>
      <c r="O3" s="75"/>
      <c r="P3" s="75"/>
      <c r="Q3" s="25"/>
      <c r="R3" s="25"/>
      <c r="S3" s="25"/>
      <c r="T3" s="26"/>
      <c r="U3" s="27" t="s">
        <v>34</v>
      </c>
      <c r="V3" s="28"/>
      <c r="X3" s="3"/>
      <c r="AA3" s="3"/>
    </row>
    <row r="4">
      <c r="A4" s="104"/>
      <c r="B4" s="19"/>
      <c r="C4" s="20"/>
      <c r="D4" s="20"/>
      <c r="E4" s="20"/>
      <c r="F4" s="29" t="s">
        <v>31</v>
      </c>
      <c r="G4" s="30"/>
      <c r="H4" s="23"/>
      <c r="I4" s="23"/>
      <c r="J4" s="23"/>
      <c r="K4" s="23"/>
      <c r="L4" s="25">
        <f>VLOOKUP(L3,RECOVERY!$AA$8:$AP$10,2,FALSE)</f>
        <v>1.4</v>
      </c>
      <c r="M4" s="25">
        <f>VLOOKUP(M3,RECOVERY!$AA$27:$AP$29,2,FALSE)</f>
        <v>0.65</v>
      </c>
      <c r="N4" s="106">
        <v>-1.5</v>
      </c>
      <c r="O4" s="106">
        <v>0.0</v>
      </c>
      <c r="P4" s="106">
        <v>1.5</v>
      </c>
      <c r="Q4" s="25"/>
      <c r="R4" s="23" t="s">
        <v>35</v>
      </c>
      <c r="S4" s="25"/>
      <c r="T4" s="27">
        <v>0.1</v>
      </c>
      <c r="U4" s="27">
        <v>1.33</v>
      </c>
      <c r="V4" s="31">
        <v>-1.23</v>
      </c>
      <c r="X4" s="3"/>
      <c r="AA4" s="3"/>
    </row>
    <row r="5">
      <c r="A5" s="104"/>
      <c r="B5" s="32" t="s">
        <v>7</v>
      </c>
      <c r="C5" s="33"/>
      <c r="D5" s="21" t="s">
        <v>36</v>
      </c>
      <c r="E5" s="34" t="s">
        <v>37</v>
      </c>
      <c r="F5" s="29" t="str">
        <f>SUM(F6:F11)&amp;"/55"</f>
        <v>0/55</v>
      </c>
      <c r="G5" s="30" t="s">
        <v>38</v>
      </c>
      <c r="H5" s="36" t="s">
        <v>39</v>
      </c>
      <c r="I5" s="36" t="s">
        <v>40</v>
      </c>
      <c r="J5" s="36" t="s">
        <v>41</v>
      </c>
      <c r="K5" s="36" t="s">
        <v>42</v>
      </c>
      <c r="L5" s="36" t="s">
        <v>43</v>
      </c>
      <c r="M5" s="36" t="s">
        <v>44</v>
      </c>
      <c r="N5" s="107" t="s">
        <v>45</v>
      </c>
      <c r="O5" s="107" t="s">
        <v>46</v>
      </c>
      <c r="P5" s="107" t="s">
        <v>47</v>
      </c>
      <c r="Q5" s="30" t="s">
        <v>48</v>
      </c>
      <c r="R5" s="36" t="s">
        <v>49</v>
      </c>
      <c r="S5" s="30" t="s">
        <v>50</v>
      </c>
      <c r="T5" s="37" t="s">
        <v>51</v>
      </c>
      <c r="U5" s="37" t="s">
        <v>45</v>
      </c>
      <c r="V5" s="38" t="s">
        <v>47</v>
      </c>
      <c r="X5" s="3" t="s">
        <v>7</v>
      </c>
      <c r="Y5" s="3" t="s">
        <v>36</v>
      </c>
      <c r="Z5" s="3" t="s">
        <v>37</v>
      </c>
      <c r="AA5" s="3" t="str">
        <f>SUM(AA6:AA9)&amp;"/55"</f>
        <v>0/55</v>
      </c>
      <c r="AB5" s="3" t="s">
        <v>38</v>
      </c>
    </row>
    <row r="6">
      <c r="A6" s="104"/>
      <c r="B6" s="39" t="s">
        <v>12</v>
      </c>
      <c r="C6" s="40" t="s">
        <v>52</v>
      </c>
      <c r="D6" s="21">
        <v>150.0</v>
      </c>
      <c r="E6" s="41">
        <f t="shared" ref="E6:E11" si="3">D6+F6</f>
        <v>150</v>
      </c>
      <c r="F6" s="42"/>
      <c r="G6" s="30">
        <v>35.0</v>
      </c>
      <c r="H6" s="44">
        <f>$G$6+(E6/2)+$AB$6+(Z6/2)+$L$2</f>
        <v>158</v>
      </c>
      <c r="I6" s="30">
        <f>1-(E7/1000)</f>
        <v>0.8</v>
      </c>
      <c r="J6" s="30">
        <f>ROUND(POWER(E6/100,0.5),3)</f>
        <v>1.225</v>
      </c>
      <c r="K6" s="44">
        <f>(G8*J6*I6*N2)</f>
        <v>16.66</v>
      </c>
      <c r="L6" s="44">
        <f>1+(L4-1)*(1-E10/500)</f>
        <v>1.3944</v>
      </c>
      <c r="M6" s="44">
        <f>M4+((1-M4)*0.5*E10/400)</f>
        <v>0.6530625</v>
      </c>
      <c r="N6" s="62">
        <f>(E9+(Q6*N4))/1.3</f>
        <v>25.36538462</v>
      </c>
      <c r="O6" s="62">
        <f t="shared" ref="O6:P6" si="1">(D9+(P6*O4))/1.3</f>
        <v>26.92307692</v>
      </c>
      <c r="P6" s="62">
        <f t="shared" si="1"/>
        <v>28.48076923</v>
      </c>
      <c r="Q6" s="30">
        <f>3*(E8/100)</f>
        <v>1.35</v>
      </c>
      <c r="R6" s="44">
        <f>E8*1*(VLOOKUP(B6,SPIN!$M$27:$N$40,2,FALSE))</f>
        <v>1800</v>
      </c>
      <c r="S6" s="30">
        <f>E8*2*3.14/60</f>
        <v>4.71</v>
      </c>
      <c r="T6" s="45">
        <f t="shared" ref="T6:V6" si="2">$S6*T4*8</f>
        <v>3.768</v>
      </c>
      <c r="U6" s="45">
        <f t="shared" si="2"/>
        <v>50.1144</v>
      </c>
      <c r="V6" s="46">
        <f t="shared" si="2"/>
        <v>-46.3464</v>
      </c>
      <c r="X6" s="3" t="s">
        <v>53</v>
      </c>
      <c r="Y6" s="3">
        <v>30.0</v>
      </c>
      <c r="Z6" s="4">
        <f t="shared" ref="Z6:Z9" si="4">Y6+AA6</f>
        <v>30</v>
      </c>
      <c r="AB6" s="3">
        <v>30.0</v>
      </c>
    </row>
    <row r="7">
      <c r="A7" s="104"/>
      <c r="B7" s="47"/>
      <c r="C7" s="40" t="s">
        <v>54</v>
      </c>
      <c r="D7" s="21">
        <v>200.0</v>
      </c>
      <c r="E7" s="41">
        <f t="shared" si="3"/>
        <v>200</v>
      </c>
      <c r="F7" s="42"/>
      <c r="G7" s="30" t="s">
        <v>55</v>
      </c>
      <c r="H7" s="23" t="s">
        <v>27</v>
      </c>
      <c r="I7" s="23"/>
      <c r="J7" s="23"/>
      <c r="K7" s="23"/>
      <c r="L7" s="23"/>
      <c r="M7" s="23"/>
      <c r="N7" s="108"/>
      <c r="O7" s="108"/>
      <c r="P7" s="108"/>
      <c r="Q7" s="23"/>
      <c r="R7" s="23"/>
      <c r="S7" s="23"/>
      <c r="T7" s="27"/>
      <c r="U7" s="27"/>
      <c r="V7" s="31"/>
      <c r="X7" s="3" t="s">
        <v>56</v>
      </c>
      <c r="Y7" s="3">
        <v>50.0</v>
      </c>
      <c r="Z7" s="4">
        <f t="shared" si="4"/>
        <v>50</v>
      </c>
    </row>
    <row r="8">
      <c r="A8" s="104"/>
      <c r="B8" s="47"/>
      <c r="C8" s="40" t="s">
        <v>57</v>
      </c>
      <c r="D8" s="21">
        <v>45.0</v>
      </c>
      <c r="E8" s="41">
        <f t="shared" si="3"/>
        <v>45</v>
      </c>
      <c r="F8" s="42"/>
      <c r="G8" s="30">
        <v>17.0</v>
      </c>
      <c r="H8" s="23"/>
      <c r="I8" s="23"/>
      <c r="J8" s="23"/>
      <c r="K8" s="23"/>
      <c r="L8" s="23"/>
      <c r="M8" s="23"/>
      <c r="N8" s="108"/>
      <c r="O8" s="108"/>
      <c r="P8" s="108"/>
      <c r="Q8" s="23"/>
      <c r="R8" s="23"/>
      <c r="S8" s="23"/>
      <c r="T8" s="27"/>
      <c r="U8" s="27"/>
      <c r="V8" s="31"/>
      <c r="X8" s="3" t="s">
        <v>58</v>
      </c>
      <c r="Y8" s="3">
        <v>150.0</v>
      </c>
      <c r="Z8" s="4">
        <f t="shared" si="4"/>
        <v>150</v>
      </c>
    </row>
    <row r="9">
      <c r="A9" s="104"/>
      <c r="B9" s="47"/>
      <c r="C9" s="40" t="s">
        <v>59</v>
      </c>
      <c r="D9" s="48">
        <f>'DEFAULT CLUBS-COMMON'!D9</f>
        <v>35</v>
      </c>
      <c r="E9" s="41">
        <f t="shared" si="3"/>
        <v>35</v>
      </c>
      <c r="F9" s="49"/>
      <c r="G9" s="50"/>
      <c r="H9" s="23"/>
      <c r="I9" s="23"/>
      <c r="J9" s="23"/>
      <c r="K9" s="23"/>
      <c r="L9" s="23"/>
      <c r="M9" s="23"/>
      <c r="N9" s="108"/>
      <c r="O9" s="108"/>
      <c r="P9" s="108"/>
      <c r="Q9" s="23"/>
      <c r="R9" s="23"/>
      <c r="S9" s="23"/>
      <c r="T9" s="27"/>
      <c r="U9" s="27"/>
      <c r="V9" s="31"/>
      <c r="X9" s="3" t="s">
        <v>60</v>
      </c>
      <c r="Y9" s="3">
        <v>5.0</v>
      </c>
      <c r="Z9" s="4">
        <f t="shared" si="4"/>
        <v>5</v>
      </c>
    </row>
    <row r="10">
      <c r="A10" s="104"/>
      <c r="B10" s="47"/>
      <c r="C10" s="40" t="s">
        <v>61</v>
      </c>
      <c r="D10" s="59">
        <f>D20-6</f>
        <v>7</v>
      </c>
      <c r="E10" s="41">
        <f t="shared" si="3"/>
        <v>7</v>
      </c>
      <c r="F10" s="42"/>
      <c r="G10" s="50"/>
      <c r="H10" s="23"/>
      <c r="I10" s="23"/>
      <c r="J10" s="23"/>
      <c r="K10" s="23"/>
      <c r="L10" s="23"/>
      <c r="M10" s="23"/>
      <c r="N10" s="108"/>
      <c r="O10" s="108"/>
      <c r="P10" s="108"/>
      <c r="Q10" s="23"/>
      <c r="R10" s="23"/>
      <c r="S10" s="23"/>
      <c r="T10" s="27"/>
      <c r="U10" s="27"/>
      <c r="V10" s="31"/>
    </row>
    <row r="11">
      <c r="A11" s="104"/>
      <c r="B11" s="51"/>
      <c r="C11" s="52" t="s">
        <v>62</v>
      </c>
      <c r="D11" s="53">
        <v>150.0</v>
      </c>
      <c r="E11" s="54">
        <f t="shared" si="3"/>
        <v>150</v>
      </c>
      <c r="F11" s="109"/>
      <c r="G11" s="55"/>
      <c r="H11" s="56"/>
      <c r="I11" s="56"/>
      <c r="J11" s="56"/>
      <c r="K11" s="56"/>
      <c r="L11" s="56"/>
      <c r="M11" s="56"/>
      <c r="N11" s="110"/>
      <c r="O11" s="110"/>
      <c r="P11" s="110"/>
      <c r="Q11" s="56"/>
      <c r="R11" s="56"/>
      <c r="S11" s="56"/>
      <c r="T11" s="57"/>
      <c r="U11" s="57"/>
      <c r="V11" s="58"/>
    </row>
    <row r="12">
      <c r="A12" s="104"/>
      <c r="B12" s="10"/>
      <c r="C12" s="11"/>
      <c r="D12" s="11"/>
      <c r="E12" s="11"/>
      <c r="F12" s="12"/>
      <c r="G12" s="13"/>
      <c r="H12" s="14" t="s">
        <v>27</v>
      </c>
      <c r="I12" s="14"/>
      <c r="J12" s="14"/>
      <c r="K12" s="14" t="s">
        <v>28</v>
      </c>
      <c r="L12" s="16">
        <f>RANDBETWEEN(0,3)</f>
        <v>0</v>
      </c>
      <c r="M12" s="14" t="s">
        <v>29</v>
      </c>
      <c r="N12" s="105">
        <v>1.0</v>
      </c>
      <c r="O12" s="68"/>
      <c r="P12" s="68"/>
      <c r="Q12" s="16"/>
      <c r="R12" s="16"/>
      <c r="S12" s="16"/>
      <c r="T12" s="17"/>
      <c r="U12" s="17"/>
      <c r="V12" s="18"/>
    </row>
    <row r="13">
      <c r="A13" s="104"/>
      <c r="B13" s="19"/>
      <c r="C13" s="20"/>
      <c r="D13" s="20"/>
      <c r="E13" s="20"/>
      <c r="F13" s="21"/>
      <c r="G13" s="22"/>
      <c r="H13" s="23"/>
      <c r="I13" s="23"/>
      <c r="J13" s="23"/>
      <c r="K13" s="23"/>
      <c r="L13" s="24" t="s">
        <v>33</v>
      </c>
      <c r="M13" s="24" t="s">
        <v>33</v>
      </c>
      <c r="N13" s="75"/>
      <c r="O13" s="75"/>
      <c r="P13" s="75"/>
      <c r="Q13" s="25"/>
      <c r="R13" s="25"/>
      <c r="S13" s="25"/>
      <c r="T13" s="26"/>
      <c r="U13" s="27" t="s">
        <v>34</v>
      </c>
      <c r="V13" s="28"/>
    </row>
    <row r="14">
      <c r="A14" s="104"/>
      <c r="B14" s="19"/>
      <c r="C14" s="20"/>
      <c r="D14" s="20"/>
      <c r="E14" s="20"/>
      <c r="F14" s="29" t="s">
        <v>31</v>
      </c>
      <c r="G14" s="30"/>
      <c r="H14" s="23"/>
      <c r="I14" s="23"/>
      <c r="J14" s="23"/>
      <c r="K14" s="23"/>
      <c r="L14" s="25">
        <f>VLOOKUP(L13,RECOVERY!$AA$8:$AP$10,3,FALSE)</f>
        <v>1.4</v>
      </c>
      <c r="M14" s="25">
        <f>VLOOKUP(M13,RECOVERY!$AA$27:$AP$29,3,FALSE)</f>
        <v>0.65</v>
      </c>
      <c r="N14" s="106">
        <v>-1.5</v>
      </c>
      <c r="O14" s="106">
        <v>0.0</v>
      </c>
      <c r="P14" s="106">
        <v>1.5</v>
      </c>
      <c r="Q14" s="25"/>
      <c r="R14" s="23" t="s">
        <v>35</v>
      </c>
      <c r="S14" s="25"/>
      <c r="T14" s="27">
        <v>0.1</v>
      </c>
      <c r="U14" s="27">
        <v>1.33</v>
      </c>
      <c r="V14" s="31">
        <v>-1.23</v>
      </c>
    </row>
    <row r="15">
      <c r="A15" s="104"/>
      <c r="B15" s="32" t="s">
        <v>7</v>
      </c>
      <c r="C15" s="33"/>
      <c r="D15" s="21" t="s">
        <v>36</v>
      </c>
      <c r="E15" s="34" t="s">
        <v>37</v>
      </c>
      <c r="F15" s="29" t="str">
        <f>SUM(F16:F21)&amp;"/55"</f>
        <v>0/55</v>
      </c>
      <c r="G15" s="30" t="s">
        <v>38</v>
      </c>
      <c r="H15" s="36" t="s">
        <v>39</v>
      </c>
      <c r="I15" s="36" t="s">
        <v>40</v>
      </c>
      <c r="J15" s="36" t="s">
        <v>41</v>
      </c>
      <c r="K15" s="36" t="s">
        <v>42</v>
      </c>
      <c r="L15" s="36" t="s">
        <v>43</v>
      </c>
      <c r="M15" s="36" t="s">
        <v>44</v>
      </c>
      <c r="N15" s="107" t="s">
        <v>45</v>
      </c>
      <c r="O15" s="107" t="s">
        <v>46</v>
      </c>
      <c r="P15" s="107" t="s">
        <v>47</v>
      </c>
      <c r="Q15" s="30" t="s">
        <v>48</v>
      </c>
      <c r="R15" s="36" t="s">
        <v>49</v>
      </c>
      <c r="S15" s="30" t="s">
        <v>50</v>
      </c>
      <c r="T15" s="37" t="s">
        <v>51</v>
      </c>
      <c r="U15" s="37" t="s">
        <v>45</v>
      </c>
      <c r="V15" s="38" t="s">
        <v>47</v>
      </c>
    </row>
    <row r="16">
      <c r="A16" s="104"/>
      <c r="B16" s="39" t="s">
        <v>13</v>
      </c>
      <c r="C16" s="40" t="s">
        <v>52</v>
      </c>
      <c r="D16" s="21">
        <f>D6-10</f>
        <v>140</v>
      </c>
      <c r="E16" s="41">
        <f t="shared" ref="E16:E21" si="7">D16+F16</f>
        <v>140</v>
      </c>
      <c r="F16" s="42"/>
      <c r="G16" s="30">
        <v>35.0</v>
      </c>
      <c r="H16" s="44">
        <f>$G$6+(E16/2)+$AB$6+(Z16/2)+$L$2</f>
        <v>138</v>
      </c>
      <c r="I16" s="30">
        <f>1-(E17/1000)</f>
        <v>0.8</v>
      </c>
      <c r="J16" s="30">
        <f>ROUND(POWER(E16/100,0.5),3)</f>
        <v>1.183</v>
      </c>
      <c r="K16" s="44">
        <f>(G18*J16*I16*N12)</f>
        <v>16.0888</v>
      </c>
      <c r="L16" s="44">
        <f>1+(L14-1)*(1-E20/500)</f>
        <v>1.3896</v>
      </c>
      <c r="M16" s="44">
        <f>M14+((1-M14)*0.5*E20/400)</f>
        <v>0.6556875</v>
      </c>
      <c r="N16" s="62">
        <f>(E19+(Q16*N14))/1.3</f>
        <v>24.84615385</v>
      </c>
      <c r="O16" s="62">
        <f t="shared" ref="O16:P16" si="5">(D19+(P16*O14))/1.3</f>
        <v>26.92307692</v>
      </c>
      <c r="P16" s="62">
        <f t="shared" si="5"/>
        <v>29</v>
      </c>
      <c r="Q16" s="30">
        <f>3*(E18/100)</f>
        <v>1.8</v>
      </c>
      <c r="R16" s="44">
        <f>E18*1*(VLOOKUP(B16,SPIN!$M$27:$N$40,2,FALSE))</f>
        <v>3000</v>
      </c>
      <c r="S16" s="30">
        <f>E18*2*3.14/60</f>
        <v>6.28</v>
      </c>
      <c r="T16" s="45">
        <f t="shared" ref="T16:V16" si="6">$S16*T14*8</f>
        <v>5.024</v>
      </c>
      <c r="U16" s="45">
        <f t="shared" si="6"/>
        <v>66.8192</v>
      </c>
      <c r="V16" s="46">
        <f t="shared" si="6"/>
        <v>-61.7952</v>
      </c>
    </row>
    <row r="17">
      <c r="A17" s="104"/>
      <c r="B17" s="47"/>
      <c r="C17" s="40" t="s">
        <v>54</v>
      </c>
      <c r="D17" s="21">
        <v>200.0</v>
      </c>
      <c r="E17" s="41">
        <f t="shared" si="7"/>
        <v>200</v>
      </c>
      <c r="F17" s="42"/>
      <c r="G17" s="30" t="s">
        <v>55</v>
      </c>
      <c r="H17" s="23"/>
      <c r="I17" s="23"/>
      <c r="J17" s="23"/>
      <c r="K17" s="23"/>
      <c r="L17" s="23"/>
      <c r="M17" s="23"/>
      <c r="N17" s="108"/>
      <c r="O17" s="108"/>
      <c r="P17" s="108"/>
      <c r="Q17" s="23"/>
      <c r="R17" s="23"/>
      <c r="S17" s="23"/>
      <c r="T17" s="27"/>
      <c r="U17" s="27"/>
      <c r="V17" s="31"/>
    </row>
    <row r="18">
      <c r="A18" s="104"/>
      <c r="B18" s="47"/>
      <c r="C18" s="40" t="s">
        <v>57</v>
      </c>
      <c r="D18" s="21">
        <v>60.0</v>
      </c>
      <c r="E18" s="41">
        <f t="shared" si="7"/>
        <v>60</v>
      </c>
      <c r="F18" s="42"/>
      <c r="G18" s="30">
        <v>17.0</v>
      </c>
      <c r="H18" s="23"/>
      <c r="I18" s="23"/>
      <c r="J18" s="23"/>
      <c r="K18" s="23"/>
      <c r="L18" s="23"/>
      <c r="M18" s="23"/>
      <c r="N18" s="108"/>
      <c r="O18" s="108"/>
      <c r="P18" s="108"/>
      <c r="Q18" s="23"/>
      <c r="R18" s="23"/>
      <c r="S18" s="23"/>
      <c r="T18" s="27"/>
      <c r="U18" s="27"/>
      <c r="V18" s="31"/>
    </row>
    <row r="19">
      <c r="A19" s="104"/>
      <c r="B19" s="47"/>
      <c r="C19" s="40" t="s">
        <v>59</v>
      </c>
      <c r="D19" s="48">
        <f>'DEFAULT CLUBS-COMMON'!D19</f>
        <v>35</v>
      </c>
      <c r="E19" s="41">
        <f t="shared" si="7"/>
        <v>35</v>
      </c>
      <c r="F19" s="49"/>
      <c r="G19" s="50"/>
      <c r="H19" s="23"/>
      <c r="I19" s="23"/>
      <c r="J19" s="23"/>
      <c r="K19" s="23"/>
      <c r="L19" s="23"/>
      <c r="M19" s="23"/>
      <c r="N19" s="108"/>
      <c r="O19" s="108"/>
      <c r="P19" s="108"/>
      <c r="Q19" s="23"/>
      <c r="R19" s="23"/>
      <c r="S19" s="23"/>
      <c r="T19" s="27"/>
      <c r="U19" s="27"/>
      <c r="V19" s="31"/>
    </row>
    <row r="20">
      <c r="A20" s="104"/>
      <c r="B20" s="47"/>
      <c r="C20" s="40" t="s">
        <v>61</v>
      </c>
      <c r="D20" s="59">
        <f>D30</f>
        <v>13</v>
      </c>
      <c r="E20" s="41">
        <f t="shared" si="7"/>
        <v>13</v>
      </c>
      <c r="F20" s="42"/>
      <c r="G20" s="50"/>
      <c r="H20" s="23"/>
      <c r="I20" s="23"/>
      <c r="J20" s="23"/>
      <c r="K20" s="23"/>
      <c r="L20" s="23"/>
      <c r="M20" s="23"/>
      <c r="N20" s="108"/>
      <c r="O20" s="108"/>
      <c r="P20" s="108"/>
      <c r="Q20" s="23"/>
      <c r="R20" s="23"/>
      <c r="S20" s="23"/>
      <c r="T20" s="27"/>
      <c r="U20" s="27"/>
      <c r="V20" s="31"/>
    </row>
    <row r="21">
      <c r="A21" s="104"/>
      <c r="B21" s="51"/>
      <c r="C21" s="52" t="s">
        <v>62</v>
      </c>
      <c r="D21" s="60">
        <f>D11</f>
        <v>150</v>
      </c>
      <c r="E21" s="54">
        <f t="shared" si="7"/>
        <v>150</v>
      </c>
      <c r="F21" s="61"/>
      <c r="G21" s="55"/>
      <c r="H21" s="56"/>
      <c r="I21" s="56"/>
      <c r="J21" s="56"/>
      <c r="K21" s="56"/>
      <c r="L21" s="56"/>
      <c r="M21" s="56"/>
      <c r="N21" s="110"/>
      <c r="O21" s="110"/>
      <c r="P21" s="110"/>
      <c r="Q21" s="56"/>
      <c r="R21" s="56"/>
      <c r="S21" s="56"/>
      <c r="T21" s="57"/>
      <c r="U21" s="57"/>
      <c r="V21" s="58"/>
    </row>
    <row r="22">
      <c r="A22" s="104"/>
      <c r="B22" s="10"/>
      <c r="C22" s="11"/>
      <c r="D22" s="11"/>
      <c r="E22" s="11"/>
      <c r="F22" s="12"/>
      <c r="G22" s="13"/>
      <c r="H22" s="14" t="s">
        <v>27</v>
      </c>
      <c r="I22" s="14"/>
      <c r="J22" s="14"/>
      <c r="K22" s="14" t="s">
        <v>28</v>
      </c>
      <c r="L22" s="16">
        <f>RANDBETWEEN(0,3)</f>
        <v>3</v>
      </c>
      <c r="M22" s="14" t="s">
        <v>29</v>
      </c>
      <c r="N22" s="105">
        <v>1.0</v>
      </c>
      <c r="O22" s="68"/>
      <c r="P22" s="68"/>
      <c r="Q22" s="16"/>
      <c r="R22" s="16"/>
      <c r="S22" s="16"/>
      <c r="T22" s="17"/>
      <c r="U22" s="17"/>
      <c r="V22" s="18"/>
    </row>
    <row r="23">
      <c r="A23" s="104"/>
      <c r="B23" s="19"/>
      <c r="C23" s="20"/>
      <c r="D23" s="20"/>
      <c r="E23" s="20"/>
      <c r="F23" s="21"/>
      <c r="G23" s="22"/>
      <c r="H23" s="23"/>
      <c r="I23" s="23"/>
      <c r="J23" s="23"/>
      <c r="K23" s="23"/>
      <c r="L23" s="24" t="s">
        <v>33</v>
      </c>
      <c r="M23" s="24" t="s">
        <v>33</v>
      </c>
      <c r="N23" s="75"/>
      <c r="O23" s="75"/>
      <c r="P23" s="75"/>
      <c r="Q23" s="25"/>
      <c r="R23" s="25"/>
      <c r="S23" s="25"/>
      <c r="T23" s="26"/>
      <c r="U23" s="27" t="s">
        <v>34</v>
      </c>
      <c r="V23" s="28"/>
    </row>
    <row r="24">
      <c r="A24" s="104"/>
      <c r="B24" s="19"/>
      <c r="C24" s="20"/>
      <c r="D24" s="20"/>
      <c r="E24" s="20"/>
      <c r="F24" s="29" t="s">
        <v>31</v>
      </c>
      <c r="G24" s="30"/>
      <c r="H24" s="23"/>
      <c r="I24" s="23"/>
      <c r="J24" s="23"/>
      <c r="K24" s="23"/>
      <c r="L24" s="25">
        <f>VLOOKUP(L23,RECOVERY!$AA$8:$AP$10,4,FALSE)</f>
        <v>1.4</v>
      </c>
      <c r="M24" s="25">
        <f>VLOOKUP(M23,RECOVERY!$AA$27:$AP$29,4,FALSE)</f>
        <v>0.65</v>
      </c>
      <c r="N24" s="106">
        <v>-1.5</v>
      </c>
      <c r="O24" s="106">
        <v>0.0</v>
      </c>
      <c r="P24" s="106">
        <v>1.5</v>
      </c>
      <c r="Q24" s="25"/>
      <c r="R24" s="23" t="s">
        <v>35</v>
      </c>
      <c r="S24" s="25"/>
      <c r="T24" s="27">
        <v>0.1</v>
      </c>
      <c r="U24" s="27">
        <v>1.33</v>
      </c>
      <c r="V24" s="31">
        <v>-1.23</v>
      </c>
    </row>
    <row r="25">
      <c r="A25" s="104"/>
      <c r="B25" s="32" t="s">
        <v>7</v>
      </c>
      <c r="C25" s="33"/>
      <c r="D25" s="21" t="s">
        <v>36</v>
      </c>
      <c r="E25" s="34" t="s">
        <v>37</v>
      </c>
      <c r="F25" s="29" t="str">
        <f>SUM(F26:F31)&amp;"/55"</f>
        <v>0/55</v>
      </c>
      <c r="G25" s="30" t="s">
        <v>38</v>
      </c>
      <c r="H25" s="36" t="s">
        <v>39</v>
      </c>
      <c r="I25" s="36" t="s">
        <v>40</v>
      </c>
      <c r="J25" s="36" t="s">
        <v>41</v>
      </c>
      <c r="K25" s="36" t="s">
        <v>42</v>
      </c>
      <c r="L25" s="36" t="s">
        <v>43</v>
      </c>
      <c r="M25" s="36" t="s">
        <v>44</v>
      </c>
      <c r="N25" s="107" t="s">
        <v>45</v>
      </c>
      <c r="O25" s="107" t="s">
        <v>46</v>
      </c>
      <c r="P25" s="107" t="s">
        <v>47</v>
      </c>
      <c r="Q25" s="30" t="s">
        <v>48</v>
      </c>
      <c r="R25" s="36" t="s">
        <v>49</v>
      </c>
      <c r="S25" s="30" t="s">
        <v>50</v>
      </c>
      <c r="T25" s="37" t="s">
        <v>51</v>
      </c>
      <c r="U25" s="37" t="s">
        <v>45</v>
      </c>
      <c r="V25" s="38" t="s">
        <v>47</v>
      </c>
    </row>
    <row r="26">
      <c r="A26" s="104"/>
      <c r="B26" s="39" t="s">
        <v>14</v>
      </c>
      <c r="C26" s="40" t="s">
        <v>52</v>
      </c>
      <c r="D26" s="21">
        <f>D16-10</f>
        <v>130</v>
      </c>
      <c r="E26" s="41">
        <f t="shared" ref="E26:E31" si="10">D26+F26</f>
        <v>130</v>
      </c>
      <c r="F26" s="42"/>
      <c r="G26" s="30">
        <v>35.0</v>
      </c>
      <c r="H26" s="62">
        <f>$G$6+(E26/2)+$AB$6+(Z26/2)+$L$2</f>
        <v>133</v>
      </c>
      <c r="I26" s="30">
        <f>1-(E27/1000)</f>
        <v>0.795</v>
      </c>
      <c r="J26" s="63">
        <f>ROUND(POWER(E26/100,0.5),3)</f>
        <v>1.14</v>
      </c>
      <c r="K26" s="62">
        <f>(G28*J26*I26*N22)</f>
        <v>15.4071</v>
      </c>
      <c r="L26" s="62">
        <f>1+(L24-1)*(1-E30/500)</f>
        <v>1.3896</v>
      </c>
      <c r="M26" s="44">
        <f>M24+((1-M24)*0.5*E30/400)</f>
        <v>0.6556875</v>
      </c>
      <c r="N26" s="62">
        <f>(E29+(Q26*N24))/1.3</f>
        <v>24.67307692</v>
      </c>
      <c r="O26" s="62">
        <f t="shared" ref="O26:P26" si="8">(D29+(P26*O24))/1.3</f>
        <v>26.92307692</v>
      </c>
      <c r="P26" s="62">
        <f t="shared" si="8"/>
        <v>29.17307692</v>
      </c>
      <c r="Q26" s="63">
        <f>3*(E28/100)</f>
        <v>1.95</v>
      </c>
      <c r="R26" s="62">
        <f>E28*1*(VLOOKUP(B26,SPIN!$M$27:$N$40,2,FALSE))</f>
        <v>3250</v>
      </c>
      <c r="S26" s="30">
        <f>E28*2*3.14/60</f>
        <v>6.803333333</v>
      </c>
      <c r="T26" s="45">
        <f t="shared" ref="T26:V26" si="9">$S26*T24*8</f>
        <v>5.442666667</v>
      </c>
      <c r="U26" s="45">
        <f t="shared" si="9"/>
        <v>72.38746667</v>
      </c>
      <c r="V26" s="46">
        <f t="shared" si="9"/>
        <v>-66.9448</v>
      </c>
    </row>
    <row r="27">
      <c r="A27" s="104"/>
      <c r="B27" s="47"/>
      <c r="C27" s="40" t="s">
        <v>54</v>
      </c>
      <c r="D27" s="21">
        <f>D17+5</f>
        <v>205</v>
      </c>
      <c r="E27" s="41">
        <f t="shared" si="10"/>
        <v>205</v>
      </c>
      <c r="F27" s="42"/>
      <c r="G27" s="30" t="s">
        <v>55</v>
      </c>
      <c r="H27" s="23"/>
      <c r="I27" s="23"/>
      <c r="J27" s="23"/>
      <c r="K27" s="23"/>
      <c r="L27" s="23"/>
      <c r="M27" s="23"/>
      <c r="N27" s="108"/>
      <c r="O27" s="108"/>
      <c r="P27" s="108"/>
      <c r="Q27" s="23"/>
      <c r="R27" s="23"/>
      <c r="S27" s="23"/>
      <c r="T27" s="27"/>
      <c r="U27" s="27"/>
      <c r="V27" s="31"/>
    </row>
    <row r="28">
      <c r="A28" s="104"/>
      <c r="B28" s="47"/>
      <c r="C28" s="40" t="s">
        <v>57</v>
      </c>
      <c r="D28" s="21">
        <v>65.0</v>
      </c>
      <c r="E28" s="41">
        <f t="shared" si="10"/>
        <v>65</v>
      </c>
      <c r="F28" s="42"/>
      <c r="G28" s="30">
        <v>17.0</v>
      </c>
      <c r="H28" s="23"/>
      <c r="I28" s="23"/>
      <c r="J28" s="23"/>
      <c r="K28" s="23"/>
      <c r="L28" s="23"/>
      <c r="M28" s="23"/>
      <c r="N28" s="108"/>
      <c r="O28" s="108"/>
      <c r="P28" s="108"/>
      <c r="Q28" s="23"/>
      <c r="R28" s="23"/>
      <c r="S28" s="23"/>
      <c r="T28" s="27"/>
      <c r="U28" s="27"/>
      <c r="V28" s="31"/>
    </row>
    <row r="29">
      <c r="A29" s="104"/>
      <c r="B29" s="47"/>
      <c r="C29" s="40" t="s">
        <v>59</v>
      </c>
      <c r="D29" s="48">
        <f>'DEFAULT CLUBS-COMMON'!D29</f>
        <v>35</v>
      </c>
      <c r="E29" s="41">
        <f t="shared" si="10"/>
        <v>35</v>
      </c>
      <c r="F29" s="49"/>
      <c r="G29" s="50"/>
      <c r="H29" s="23"/>
      <c r="I29" s="23"/>
      <c r="J29" s="23"/>
      <c r="K29" s="23"/>
      <c r="L29" s="23"/>
      <c r="M29" s="23"/>
      <c r="N29" s="108"/>
      <c r="O29" s="108"/>
      <c r="P29" s="108"/>
      <c r="Q29" s="23"/>
      <c r="R29" s="23"/>
      <c r="S29" s="23"/>
      <c r="T29" s="27"/>
      <c r="U29" s="27"/>
      <c r="V29" s="31"/>
    </row>
    <row r="30">
      <c r="A30" s="104"/>
      <c r="B30" s="47"/>
      <c r="C30" s="40" t="s">
        <v>61</v>
      </c>
      <c r="D30" s="59">
        <f>D40</f>
        <v>13</v>
      </c>
      <c r="E30" s="41">
        <f t="shared" si="10"/>
        <v>13</v>
      </c>
      <c r="F30" s="42"/>
      <c r="G30" s="50"/>
      <c r="H30" s="23"/>
      <c r="I30" s="23"/>
      <c r="J30" s="23"/>
      <c r="K30" s="23"/>
      <c r="L30" s="23"/>
      <c r="M30" s="23"/>
      <c r="N30" s="108"/>
      <c r="O30" s="108"/>
      <c r="P30" s="108"/>
      <c r="Q30" s="23"/>
      <c r="R30" s="23"/>
      <c r="S30" s="23"/>
      <c r="T30" s="27"/>
      <c r="U30" s="27"/>
      <c r="V30" s="31"/>
    </row>
    <row r="31">
      <c r="A31" s="104"/>
      <c r="B31" s="51"/>
      <c r="C31" s="52" t="s">
        <v>62</v>
      </c>
      <c r="D31" s="60">
        <f>D21</f>
        <v>150</v>
      </c>
      <c r="E31" s="54">
        <f t="shared" si="10"/>
        <v>150</v>
      </c>
      <c r="F31" s="61"/>
      <c r="G31" s="55"/>
      <c r="H31" s="56"/>
      <c r="I31" s="56"/>
      <c r="J31" s="56"/>
      <c r="K31" s="56"/>
      <c r="L31" s="56"/>
      <c r="M31" s="56"/>
      <c r="N31" s="110"/>
      <c r="O31" s="110"/>
      <c r="P31" s="110"/>
      <c r="Q31" s="56"/>
      <c r="R31" s="56"/>
      <c r="S31" s="56"/>
      <c r="T31" s="57"/>
      <c r="U31" s="57"/>
      <c r="V31" s="58"/>
    </row>
    <row r="32">
      <c r="A32" s="104"/>
      <c r="B32" s="64"/>
      <c r="C32" s="65"/>
      <c r="D32" s="66"/>
      <c r="E32" s="66"/>
      <c r="F32" s="12"/>
      <c r="G32" s="13"/>
      <c r="H32" s="68" t="s">
        <v>27</v>
      </c>
      <c r="I32" s="14"/>
      <c r="J32" s="68"/>
      <c r="K32" s="68" t="s">
        <v>28</v>
      </c>
      <c r="L32" s="69">
        <f>RANDBETWEEN(0,3)</f>
        <v>1</v>
      </c>
      <c r="M32" s="68" t="s">
        <v>29</v>
      </c>
      <c r="N32" s="70">
        <v>1.0</v>
      </c>
      <c r="O32" s="68"/>
      <c r="P32" s="68"/>
      <c r="Q32" s="68"/>
      <c r="R32" s="68"/>
      <c r="S32" s="16"/>
      <c r="T32" s="17"/>
      <c r="U32" s="17"/>
      <c r="V32" s="18"/>
    </row>
    <row r="33">
      <c r="A33" s="104"/>
      <c r="B33" s="71"/>
      <c r="C33" s="72"/>
      <c r="D33" s="73"/>
      <c r="E33" s="73"/>
      <c r="F33" s="21"/>
      <c r="G33" s="22"/>
      <c r="H33" s="75"/>
      <c r="I33" s="23"/>
      <c r="J33" s="75"/>
      <c r="K33" s="75"/>
      <c r="L33" s="76" t="s">
        <v>33</v>
      </c>
      <c r="M33" s="76" t="s">
        <v>33</v>
      </c>
      <c r="N33" s="75"/>
      <c r="O33" s="75"/>
      <c r="P33" s="75"/>
      <c r="Q33" s="75"/>
      <c r="R33" s="75"/>
      <c r="S33" s="25"/>
      <c r="T33" s="26"/>
      <c r="U33" s="27" t="s">
        <v>34</v>
      </c>
      <c r="V33" s="28"/>
    </row>
    <row r="34">
      <c r="A34" s="104"/>
      <c r="B34" s="71"/>
      <c r="C34" s="72"/>
      <c r="D34" s="73"/>
      <c r="E34" s="73"/>
      <c r="F34" s="29" t="s">
        <v>31</v>
      </c>
      <c r="G34" s="30"/>
      <c r="H34" s="75"/>
      <c r="I34" s="23"/>
      <c r="J34" s="75"/>
      <c r="K34" s="75"/>
      <c r="L34" s="78">
        <f>VLOOKUP(L33,RECOVERY!$AA$8:$AP$10,5,FALSE)</f>
        <v>1.4</v>
      </c>
      <c r="M34" s="78">
        <f>VLOOKUP(M33,RECOVERY!$AA$27:$AP$29,5,FALSE)</f>
        <v>0.65</v>
      </c>
      <c r="N34" s="78">
        <v>-1.5</v>
      </c>
      <c r="O34" s="78">
        <v>0.0</v>
      </c>
      <c r="P34" s="78">
        <v>1.5</v>
      </c>
      <c r="Q34" s="75"/>
      <c r="R34" s="78" t="s">
        <v>35</v>
      </c>
      <c r="S34" s="25"/>
      <c r="T34" s="27">
        <v>0.1</v>
      </c>
      <c r="U34" s="27">
        <v>1.33</v>
      </c>
      <c r="V34" s="31">
        <v>-1.23</v>
      </c>
    </row>
    <row r="35">
      <c r="A35" s="104"/>
      <c r="B35" s="79" t="s">
        <v>7</v>
      </c>
      <c r="C35" s="80"/>
      <c r="D35" s="81" t="s">
        <v>36</v>
      </c>
      <c r="E35" s="82" t="s">
        <v>37</v>
      </c>
      <c r="F35" s="29" t="str">
        <f>SUM(F36:F41)&amp;"/55"</f>
        <v>0/55</v>
      </c>
      <c r="G35" s="30" t="s">
        <v>38</v>
      </c>
      <c r="H35" s="83" t="s">
        <v>39</v>
      </c>
      <c r="I35" s="36" t="s">
        <v>40</v>
      </c>
      <c r="J35" s="83" t="s">
        <v>41</v>
      </c>
      <c r="K35" s="83" t="s">
        <v>42</v>
      </c>
      <c r="L35" s="83" t="s">
        <v>43</v>
      </c>
      <c r="M35" s="83" t="s">
        <v>44</v>
      </c>
      <c r="N35" s="83" t="s">
        <v>45</v>
      </c>
      <c r="O35" s="83" t="s">
        <v>46</v>
      </c>
      <c r="P35" s="83" t="s">
        <v>47</v>
      </c>
      <c r="Q35" s="84" t="s">
        <v>48</v>
      </c>
      <c r="R35" s="36" t="s">
        <v>49</v>
      </c>
      <c r="S35" s="30" t="s">
        <v>50</v>
      </c>
      <c r="T35" s="37" t="s">
        <v>51</v>
      </c>
      <c r="U35" s="37" t="s">
        <v>45</v>
      </c>
      <c r="V35" s="38" t="s">
        <v>47</v>
      </c>
    </row>
    <row r="36">
      <c r="A36" s="104"/>
      <c r="B36" s="85" t="s">
        <v>15</v>
      </c>
      <c r="C36" s="86" t="s">
        <v>52</v>
      </c>
      <c r="D36" s="21">
        <f>D26-10</f>
        <v>120</v>
      </c>
      <c r="E36" s="87">
        <f t="shared" ref="E36:E41" si="13">D36+F36</f>
        <v>120</v>
      </c>
      <c r="F36" s="42"/>
      <c r="G36" s="30">
        <v>35.0</v>
      </c>
      <c r="H36" s="62">
        <f>$G$6+(E36/2)+$AB$6+(Z36/2)+$L$2</f>
        <v>128</v>
      </c>
      <c r="I36" s="30">
        <f>1-(E37/1000)</f>
        <v>0.795</v>
      </c>
      <c r="J36" s="88">
        <f>ROUND(POWER(E36/100,0.5),3)</f>
        <v>1.095</v>
      </c>
      <c r="K36" s="62">
        <f>(G38*J36*I36*N32)</f>
        <v>14.798925</v>
      </c>
      <c r="L36" s="62">
        <f>1+(L34-1)*(1-E40/500)</f>
        <v>1.3896</v>
      </c>
      <c r="M36" s="44">
        <f>M34+((1-M34)*0.5*E40/400)</f>
        <v>0.6556875</v>
      </c>
      <c r="N36" s="62">
        <f>(E39+(Q36*N34))/1.3</f>
        <v>24.53461538</v>
      </c>
      <c r="O36" s="62">
        <f t="shared" ref="O36:P36" si="11">(D39+(P36*O34))/1.3</f>
        <v>26.92307692</v>
      </c>
      <c r="P36" s="62">
        <f t="shared" si="11"/>
        <v>29.31153846</v>
      </c>
      <c r="Q36" s="88">
        <f>3*(E38/100)</f>
        <v>2.07</v>
      </c>
      <c r="R36" s="62">
        <f>E38*1*(VLOOKUP(B36,SPIN!$M$27:$N$40,2,FALSE))</f>
        <v>3450</v>
      </c>
      <c r="S36" s="30">
        <f>E38*2*3.14/60</f>
        <v>7.222</v>
      </c>
      <c r="T36" s="45">
        <f t="shared" ref="T36:V36" si="12">$S36*T34*8</f>
        <v>5.7776</v>
      </c>
      <c r="U36" s="45">
        <f t="shared" si="12"/>
        <v>76.84208</v>
      </c>
      <c r="V36" s="46">
        <f t="shared" si="12"/>
        <v>-71.06448</v>
      </c>
    </row>
    <row r="37">
      <c r="A37" s="104"/>
      <c r="B37" s="89"/>
      <c r="C37" s="86" t="s">
        <v>54</v>
      </c>
      <c r="D37" s="21">
        <f>D27</f>
        <v>205</v>
      </c>
      <c r="E37" s="87">
        <f t="shared" si="13"/>
        <v>205</v>
      </c>
      <c r="F37" s="42"/>
      <c r="G37" s="30" t="s">
        <v>55</v>
      </c>
      <c r="H37" s="75"/>
      <c r="I37" s="23"/>
      <c r="J37" s="75"/>
      <c r="K37" s="75"/>
      <c r="L37" s="75"/>
      <c r="M37" s="75"/>
      <c r="N37" s="75"/>
      <c r="O37" s="75"/>
      <c r="P37" s="75"/>
      <c r="Q37" s="75"/>
      <c r="R37" s="75"/>
      <c r="S37" s="23"/>
      <c r="T37" s="27"/>
      <c r="U37" s="27"/>
      <c r="V37" s="31"/>
    </row>
    <row r="38">
      <c r="A38" s="104"/>
      <c r="B38" s="89"/>
      <c r="C38" s="86" t="s">
        <v>57</v>
      </c>
      <c r="D38" s="21">
        <v>69.0</v>
      </c>
      <c r="E38" s="87">
        <f t="shared" si="13"/>
        <v>69</v>
      </c>
      <c r="F38" s="42"/>
      <c r="G38" s="30">
        <v>17.0</v>
      </c>
      <c r="H38" s="75"/>
      <c r="I38" s="23"/>
      <c r="J38" s="75"/>
      <c r="K38" s="75"/>
      <c r="L38" s="75"/>
      <c r="M38" s="75"/>
      <c r="N38" s="75"/>
      <c r="O38" s="75"/>
      <c r="P38" s="75"/>
      <c r="Q38" s="75"/>
      <c r="R38" s="75"/>
      <c r="S38" s="23"/>
      <c r="T38" s="27"/>
      <c r="U38" s="27"/>
      <c r="V38" s="31"/>
    </row>
    <row r="39">
      <c r="A39" s="104"/>
      <c r="B39" s="89"/>
      <c r="C39" s="86" t="s">
        <v>59</v>
      </c>
      <c r="D39" s="48">
        <f>'DEFAULT CLUBS-COMMON'!D39</f>
        <v>35</v>
      </c>
      <c r="E39" s="87">
        <f t="shared" si="13"/>
        <v>35</v>
      </c>
      <c r="F39" s="49"/>
      <c r="G39" s="50"/>
      <c r="H39" s="75"/>
      <c r="I39" s="23"/>
      <c r="J39" s="75"/>
      <c r="K39" s="75"/>
      <c r="L39" s="75"/>
      <c r="M39" s="75"/>
      <c r="N39" s="75"/>
      <c r="O39" s="75"/>
      <c r="P39" s="75"/>
      <c r="Q39" s="75"/>
      <c r="R39" s="75"/>
      <c r="S39" s="23"/>
      <c r="T39" s="27"/>
      <c r="U39" s="27"/>
      <c r="V39" s="31"/>
    </row>
    <row r="40">
      <c r="A40" s="104"/>
      <c r="B40" s="89"/>
      <c r="C40" s="86" t="s">
        <v>61</v>
      </c>
      <c r="D40" s="59">
        <f>D50</f>
        <v>13</v>
      </c>
      <c r="E40" s="87">
        <f t="shared" si="13"/>
        <v>13</v>
      </c>
      <c r="F40" s="42"/>
      <c r="G40" s="50"/>
      <c r="H40" s="75"/>
      <c r="I40" s="23"/>
      <c r="J40" s="75"/>
      <c r="K40" s="75"/>
      <c r="L40" s="75"/>
      <c r="M40" s="75"/>
      <c r="N40" s="75"/>
      <c r="O40" s="75"/>
      <c r="P40" s="75"/>
      <c r="Q40" s="75"/>
      <c r="R40" s="75"/>
      <c r="S40" s="23"/>
      <c r="T40" s="27"/>
      <c r="U40" s="27"/>
      <c r="V40" s="31"/>
    </row>
    <row r="41">
      <c r="A41" s="104"/>
      <c r="B41" s="90"/>
      <c r="C41" s="91" t="s">
        <v>62</v>
      </c>
      <c r="D41" s="60">
        <f>D31</f>
        <v>150</v>
      </c>
      <c r="E41" s="92">
        <f t="shared" si="13"/>
        <v>150</v>
      </c>
      <c r="F41" s="61"/>
      <c r="G41" s="55"/>
      <c r="H41" s="93"/>
      <c r="I41" s="56"/>
      <c r="J41" s="93"/>
      <c r="K41" s="93"/>
      <c r="L41" s="93"/>
      <c r="M41" s="93"/>
      <c r="N41" s="93"/>
      <c r="O41" s="93"/>
      <c r="P41" s="93"/>
      <c r="Q41" s="93"/>
      <c r="R41" s="93"/>
      <c r="S41" s="56"/>
      <c r="T41" s="57"/>
      <c r="U41" s="57"/>
      <c r="V41" s="58"/>
    </row>
    <row r="42">
      <c r="A42" s="104"/>
      <c r="B42" s="64"/>
      <c r="C42" s="65"/>
      <c r="D42" s="66"/>
      <c r="E42" s="66"/>
      <c r="F42" s="12"/>
      <c r="G42" s="13"/>
      <c r="H42" s="68" t="s">
        <v>27</v>
      </c>
      <c r="I42" s="14"/>
      <c r="J42" s="68"/>
      <c r="K42" s="68" t="s">
        <v>28</v>
      </c>
      <c r="L42" s="69">
        <f>RANDBETWEEN(0,3)</f>
        <v>0</v>
      </c>
      <c r="M42" s="68" t="s">
        <v>29</v>
      </c>
      <c r="N42" s="70">
        <v>1.0</v>
      </c>
      <c r="O42" s="68"/>
      <c r="P42" s="68"/>
      <c r="Q42" s="68"/>
      <c r="R42" s="68"/>
      <c r="S42" s="16"/>
      <c r="T42" s="17"/>
      <c r="U42" s="17"/>
      <c r="V42" s="18"/>
    </row>
    <row r="43">
      <c r="A43" s="104"/>
      <c r="B43" s="71"/>
      <c r="C43" s="72"/>
      <c r="D43" s="73"/>
      <c r="E43" s="73"/>
      <c r="F43" s="21"/>
      <c r="G43" s="22"/>
      <c r="H43" s="75"/>
      <c r="I43" s="23"/>
      <c r="J43" s="75"/>
      <c r="K43" s="75"/>
      <c r="L43" s="76" t="s">
        <v>33</v>
      </c>
      <c r="M43" s="76" t="s">
        <v>33</v>
      </c>
      <c r="N43" s="75"/>
      <c r="O43" s="75"/>
      <c r="P43" s="75"/>
      <c r="Q43" s="75"/>
      <c r="R43" s="75"/>
      <c r="S43" s="25"/>
      <c r="T43" s="26"/>
      <c r="U43" s="27" t="s">
        <v>34</v>
      </c>
      <c r="V43" s="28"/>
    </row>
    <row r="44">
      <c r="A44" s="104"/>
      <c r="B44" s="71"/>
      <c r="C44" s="72"/>
      <c r="D44" s="73"/>
      <c r="E44" s="73"/>
      <c r="F44" s="29" t="s">
        <v>31</v>
      </c>
      <c r="G44" s="30"/>
      <c r="H44" s="75"/>
      <c r="I44" s="23"/>
      <c r="J44" s="75"/>
      <c r="K44" s="75"/>
      <c r="L44" s="78">
        <f>VLOOKUP(L43,RECOVERY!$AA$8:$AP$10,6,FALSE)</f>
        <v>1.3</v>
      </c>
      <c r="M44" s="78">
        <f>VLOOKUP(M43,RECOVERY!$AA$27:$AP$29,6,FALSE)</f>
        <v>0.65</v>
      </c>
      <c r="N44" s="78">
        <v>-1.5</v>
      </c>
      <c r="O44" s="78">
        <v>0.0</v>
      </c>
      <c r="P44" s="78">
        <v>1.5</v>
      </c>
      <c r="Q44" s="75"/>
      <c r="R44" s="78" t="s">
        <v>35</v>
      </c>
      <c r="S44" s="25"/>
      <c r="T44" s="27">
        <v>0.1</v>
      </c>
      <c r="U44" s="27">
        <v>1.33</v>
      </c>
      <c r="V44" s="31">
        <v>-1.23</v>
      </c>
    </row>
    <row r="45">
      <c r="A45" s="104"/>
      <c r="B45" s="79" t="s">
        <v>7</v>
      </c>
      <c r="C45" s="80"/>
      <c r="D45" s="81" t="s">
        <v>36</v>
      </c>
      <c r="E45" s="82" t="s">
        <v>37</v>
      </c>
      <c r="F45" s="29" t="str">
        <f>SUM(F46:F51)&amp;"/55"</f>
        <v>0/55</v>
      </c>
      <c r="G45" s="30" t="s">
        <v>38</v>
      </c>
      <c r="H45" s="83" t="s">
        <v>39</v>
      </c>
      <c r="I45" s="36" t="s">
        <v>40</v>
      </c>
      <c r="J45" s="83" t="s">
        <v>41</v>
      </c>
      <c r="K45" s="83" t="s">
        <v>42</v>
      </c>
      <c r="L45" s="83" t="s">
        <v>43</v>
      </c>
      <c r="M45" s="83" t="s">
        <v>44</v>
      </c>
      <c r="N45" s="83" t="s">
        <v>45</v>
      </c>
      <c r="O45" s="83" t="s">
        <v>46</v>
      </c>
      <c r="P45" s="83" t="s">
        <v>47</v>
      </c>
      <c r="Q45" s="84" t="s">
        <v>48</v>
      </c>
      <c r="R45" s="36" t="s">
        <v>49</v>
      </c>
      <c r="S45" s="30" t="s">
        <v>50</v>
      </c>
      <c r="T45" s="37" t="s">
        <v>51</v>
      </c>
      <c r="U45" s="37" t="s">
        <v>45</v>
      </c>
      <c r="V45" s="38" t="s">
        <v>47</v>
      </c>
    </row>
    <row r="46">
      <c r="A46" s="104"/>
      <c r="B46" s="85" t="s">
        <v>16</v>
      </c>
      <c r="C46" s="86" t="s">
        <v>52</v>
      </c>
      <c r="D46" s="21">
        <f>D36-10</f>
        <v>110</v>
      </c>
      <c r="E46" s="87">
        <f t="shared" ref="E46:E51" si="16">D46+F46</f>
        <v>110</v>
      </c>
      <c r="F46" s="42"/>
      <c r="G46" s="30">
        <v>35.0</v>
      </c>
      <c r="H46" s="62">
        <f>$G$6+(E46/2)+$AB$6+(Z46/2)+$L$2</f>
        <v>123</v>
      </c>
      <c r="I46" s="30">
        <f>1-(E47/1000)</f>
        <v>0.79</v>
      </c>
      <c r="J46" s="88">
        <f>ROUND(POWER(E46/100,0.5),3)</f>
        <v>1.049</v>
      </c>
      <c r="K46" s="62">
        <f>(G48*J46*I46*N42)</f>
        <v>14.08807</v>
      </c>
      <c r="L46" s="62">
        <f>1+(L44-1)*(1-E50/500)</f>
        <v>1.2922</v>
      </c>
      <c r="M46" s="44">
        <f>M44+((1-M44)*0.5*E50/400)</f>
        <v>0.6556875</v>
      </c>
      <c r="N46" s="62">
        <f>(E49+(Q46*N44))/1.3</f>
        <v>24.67307692</v>
      </c>
      <c r="O46" s="62">
        <f t="shared" ref="O46:P46" si="14">(D49+(P46*O44))/1.3</f>
        <v>26.92307692</v>
      </c>
      <c r="P46" s="62">
        <f t="shared" si="14"/>
        <v>29.17307692</v>
      </c>
      <c r="Q46" s="88">
        <f>3*(E48/100)</f>
        <v>1.95</v>
      </c>
      <c r="R46" s="62">
        <f>E48*1*(VLOOKUP(B46,SPIN!$M$27:$N$40,2,FALSE))</f>
        <v>3900</v>
      </c>
      <c r="S46" s="30">
        <f>E48*2*3.14/60</f>
        <v>6.803333333</v>
      </c>
      <c r="T46" s="45">
        <f t="shared" ref="T46:V46" si="15">$S46*T44*8</f>
        <v>5.442666667</v>
      </c>
      <c r="U46" s="45">
        <f t="shared" si="15"/>
        <v>72.38746667</v>
      </c>
      <c r="V46" s="46">
        <f t="shared" si="15"/>
        <v>-66.9448</v>
      </c>
    </row>
    <row r="47">
      <c r="A47" s="104"/>
      <c r="B47" s="89"/>
      <c r="C47" s="86" t="s">
        <v>54</v>
      </c>
      <c r="D47" s="21">
        <f>D37+5</f>
        <v>210</v>
      </c>
      <c r="E47" s="87">
        <f t="shared" si="16"/>
        <v>210</v>
      </c>
      <c r="F47" s="42"/>
      <c r="G47" s="30" t="s">
        <v>55</v>
      </c>
      <c r="H47" s="75"/>
      <c r="I47" s="23"/>
      <c r="J47" s="75"/>
      <c r="K47" s="75"/>
      <c r="L47" s="75"/>
      <c r="M47" s="75"/>
      <c r="N47" s="75"/>
      <c r="O47" s="75"/>
      <c r="P47" s="75"/>
      <c r="Q47" s="75"/>
      <c r="R47" s="75"/>
      <c r="S47" s="23"/>
      <c r="T47" s="27"/>
      <c r="U47" s="27"/>
      <c r="V47" s="31"/>
    </row>
    <row r="48">
      <c r="A48" s="104"/>
      <c r="B48" s="89"/>
      <c r="C48" s="86" t="s">
        <v>57</v>
      </c>
      <c r="D48" s="21">
        <v>65.0</v>
      </c>
      <c r="E48" s="87">
        <f t="shared" si="16"/>
        <v>65</v>
      </c>
      <c r="F48" s="42"/>
      <c r="G48" s="30">
        <v>17.0</v>
      </c>
      <c r="H48" s="75"/>
      <c r="I48" s="23"/>
      <c r="J48" s="75"/>
      <c r="K48" s="75"/>
      <c r="L48" s="75"/>
      <c r="M48" s="75"/>
      <c r="N48" s="75"/>
      <c r="O48" s="75"/>
      <c r="P48" s="75"/>
      <c r="Q48" s="75"/>
      <c r="R48" s="75"/>
      <c r="S48" s="23"/>
      <c r="T48" s="27"/>
      <c r="U48" s="27"/>
      <c r="V48" s="31"/>
    </row>
    <row r="49">
      <c r="A49" s="104"/>
      <c r="B49" s="89"/>
      <c r="C49" s="86" t="s">
        <v>59</v>
      </c>
      <c r="D49" s="48">
        <f>'DEFAULT CLUBS-COMMON'!D49</f>
        <v>35</v>
      </c>
      <c r="E49" s="87">
        <f t="shared" si="16"/>
        <v>35</v>
      </c>
      <c r="F49" s="49"/>
      <c r="G49" s="50"/>
      <c r="H49" s="75"/>
      <c r="I49" s="23"/>
      <c r="J49" s="75"/>
      <c r="K49" s="75"/>
      <c r="L49" s="75"/>
      <c r="M49" s="75"/>
      <c r="N49" s="75"/>
      <c r="O49" s="75"/>
      <c r="P49" s="75"/>
      <c r="Q49" s="75"/>
      <c r="R49" s="75"/>
      <c r="S49" s="23"/>
      <c r="T49" s="27"/>
      <c r="U49" s="27"/>
      <c r="V49" s="31"/>
    </row>
    <row r="50">
      <c r="A50" s="104"/>
      <c r="B50" s="89"/>
      <c r="C50" s="86" t="s">
        <v>61</v>
      </c>
      <c r="D50" s="59">
        <f>D60-10</f>
        <v>13</v>
      </c>
      <c r="E50" s="87">
        <f t="shared" si="16"/>
        <v>13</v>
      </c>
      <c r="F50" s="42"/>
      <c r="G50" s="50"/>
      <c r="H50" s="75"/>
      <c r="I50" s="23"/>
      <c r="J50" s="75"/>
      <c r="K50" s="75"/>
      <c r="L50" s="75"/>
      <c r="M50" s="75"/>
      <c r="N50" s="75"/>
      <c r="O50" s="75"/>
      <c r="P50" s="75"/>
      <c r="Q50" s="75"/>
      <c r="R50" s="75"/>
      <c r="S50" s="23"/>
      <c r="T50" s="27"/>
      <c r="U50" s="27"/>
      <c r="V50" s="31"/>
    </row>
    <row r="51">
      <c r="A51" s="104"/>
      <c r="B51" s="90"/>
      <c r="C51" s="91" t="s">
        <v>62</v>
      </c>
      <c r="D51" s="60">
        <f>D41</f>
        <v>150</v>
      </c>
      <c r="E51" s="92">
        <f t="shared" si="16"/>
        <v>150</v>
      </c>
      <c r="F51" s="61"/>
      <c r="G51" s="55"/>
      <c r="H51" s="93"/>
      <c r="I51" s="56"/>
      <c r="J51" s="93"/>
      <c r="K51" s="93"/>
      <c r="L51" s="93"/>
      <c r="M51" s="93"/>
      <c r="N51" s="93"/>
      <c r="O51" s="93"/>
      <c r="P51" s="93"/>
      <c r="Q51" s="93"/>
      <c r="R51" s="93"/>
      <c r="S51" s="56"/>
      <c r="T51" s="57"/>
      <c r="U51" s="57"/>
      <c r="V51" s="58"/>
    </row>
    <row r="52">
      <c r="A52" s="104"/>
      <c r="B52" s="64"/>
      <c r="C52" s="65"/>
      <c r="D52" s="66"/>
      <c r="E52" s="66"/>
      <c r="F52" s="12"/>
      <c r="G52" s="13"/>
      <c r="H52" s="68" t="s">
        <v>27</v>
      </c>
      <c r="I52" s="14"/>
      <c r="J52" s="68"/>
      <c r="K52" s="68" t="s">
        <v>28</v>
      </c>
      <c r="L52" s="69">
        <f>RANDBETWEEN(0,3)</f>
        <v>3</v>
      </c>
      <c r="M52" s="68" t="s">
        <v>29</v>
      </c>
      <c r="N52" s="70">
        <v>1.0</v>
      </c>
      <c r="O52" s="68"/>
      <c r="P52" s="68"/>
      <c r="Q52" s="68"/>
      <c r="R52" s="68"/>
      <c r="S52" s="16"/>
      <c r="T52" s="17"/>
      <c r="U52" s="17"/>
      <c r="V52" s="18"/>
    </row>
    <row r="53">
      <c r="A53" s="104"/>
      <c r="B53" s="71"/>
      <c r="C53" s="72"/>
      <c r="D53" s="73"/>
      <c r="E53" s="73"/>
      <c r="F53" s="21"/>
      <c r="G53" s="22"/>
      <c r="H53" s="75"/>
      <c r="I53" s="23"/>
      <c r="J53" s="75"/>
      <c r="K53" s="75"/>
      <c r="L53" s="76" t="s">
        <v>33</v>
      </c>
      <c r="M53" s="76" t="s">
        <v>33</v>
      </c>
      <c r="N53" s="75"/>
      <c r="O53" s="75"/>
      <c r="P53" s="75"/>
      <c r="Q53" s="75"/>
      <c r="R53" s="75"/>
      <c r="S53" s="25"/>
      <c r="T53" s="26"/>
      <c r="U53" s="27" t="s">
        <v>34</v>
      </c>
      <c r="V53" s="28"/>
    </row>
    <row r="54">
      <c r="A54" s="104"/>
      <c r="B54" s="71"/>
      <c r="C54" s="72"/>
      <c r="D54" s="73"/>
      <c r="E54" s="73"/>
      <c r="F54" s="29" t="s">
        <v>31</v>
      </c>
      <c r="G54" s="30"/>
      <c r="H54" s="75"/>
      <c r="I54" s="23"/>
      <c r="J54" s="75"/>
      <c r="K54" s="75"/>
      <c r="L54" s="78">
        <f>VLOOKUP(L53,RECOVERY!$AA$8:$AP$10,7,FALSE)</f>
        <v>1.3</v>
      </c>
      <c r="M54" s="78">
        <f>VLOOKUP(M53,RECOVERY!$AA$27:$AP$29,7,FALSE)</f>
        <v>0.65</v>
      </c>
      <c r="N54" s="78">
        <v>-1.5</v>
      </c>
      <c r="O54" s="78">
        <v>0.0</v>
      </c>
      <c r="P54" s="78">
        <v>1.5</v>
      </c>
      <c r="Q54" s="75"/>
      <c r="R54" s="78" t="s">
        <v>35</v>
      </c>
      <c r="S54" s="25"/>
      <c r="T54" s="27">
        <v>0.1</v>
      </c>
      <c r="U54" s="27">
        <v>1.33</v>
      </c>
      <c r="V54" s="31">
        <v>-1.23</v>
      </c>
    </row>
    <row r="55">
      <c r="A55" s="104"/>
      <c r="B55" s="79" t="s">
        <v>7</v>
      </c>
      <c r="C55" s="80"/>
      <c r="D55" s="81" t="s">
        <v>36</v>
      </c>
      <c r="E55" s="82" t="s">
        <v>37</v>
      </c>
      <c r="F55" s="29" t="str">
        <f>SUM(F56:F61)&amp;"/55"</f>
        <v>0/55</v>
      </c>
      <c r="G55" s="30" t="s">
        <v>38</v>
      </c>
      <c r="H55" s="83" t="s">
        <v>39</v>
      </c>
      <c r="I55" s="36" t="s">
        <v>40</v>
      </c>
      <c r="J55" s="83" t="s">
        <v>41</v>
      </c>
      <c r="K55" s="83" t="s">
        <v>42</v>
      </c>
      <c r="L55" s="83" t="s">
        <v>43</v>
      </c>
      <c r="M55" s="83" t="s">
        <v>44</v>
      </c>
      <c r="N55" s="83" t="s">
        <v>45</v>
      </c>
      <c r="O55" s="83" t="s">
        <v>46</v>
      </c>
      <c r="P55" s="83" t="s">
        <v>47</v>
      </c>
      <c r="Q55" s="84" t="s">
        <v>48</v>
      </c>
      <c r="R55" s="36" t="s">
        <v>49</v>
      </c>
      <c r="S55" s="30" t="s">
        <v>50</v>
      </c>
      <c r="T55" s="37" t="s">
        <v>51</v>
      </c>
      <c r="U55" s="37" t="s">
        <v>45</v>
      </c>
      <c r="V55" s="38" t="s">
        <v>47</v>
      </c>
    </row>
    <row r="56">
      <c r="A56" s="104"/>
      <c r="B56" s="85" t="s">
        <v>17</v>
      </c>
      <c r="C56" s="86" t="s">
        <v>52</v>
      </c>
      <c r="D56" s="21">
        <f>D46-10</f>
        <v>100</v>
      </c>
      <c r="E56" s="87">
        <f t="shared" ref="E56:E61" si="19">D56+F56</f>
        <v>100</v>
      </c>
      <c r="F56" s="42"/>
      <c r="G56" s="30">
        <v>35.0</v>
      </c>
      <c r="H56" s="62">
        <f>$G$6+(E56/2)+$AB$6+(Z56/2)+$L$2</f>
        <v>118</v>
      </c>
      <c r="I56" s="30">
        <f>1-(E57/1000)</f>
        <v>0.79</v>
      </c>
      <c r="J56" s="88">
        <f>ROUND(POWER(E56/100,0.5),3)</f>
        <v>1</v>
      </c>
      <c r="K56" s="62">
        <f>(G58*J56*I56*N52)</f>
        <v>13.43</v>
      </c>
      <c r="L56" s="62">
        <f>1+(L54-1)*(1-E60/500)</f>
        <v>1.2862</v>
      </c>
      <c r="M56" s="44">
        <f>M54+((1-M54)*0.5*E60/400)</f>
        <v>0.6600625</v>
      </c>
      <c r="N56" s="62">
        <f>(E59+(Q56*N54))/1.3</f>
        <v>24.67307692</v>
      </c>
      <c r="O56" s="62">
        <f t="shared" ref="O56:P56" si="17">(D59+(P56*O54))/1.3</f>
        <v>26.92307692</v>
      </c>
      <c r="P56" s="62">
        <f t="shared" si="17"/>
        <v>29.17307692</v>
      </c>
      <c r="Q56" s="88">
        <f>3*(E58/100)</f>
        <v>1.95</v>
      </c>
      <c r="R56" s="62">
        <f>E58*1*(VLOOKUP(B56,SPIN!$M$27:$N$40,2,FALSE))</f>
        <v>3900</v>
      </c>
      <c r="S56" s="30">
        <f>E58*2*3.14/60</f>
        <v>6.803333333</v>
      </c>
      <c r="T56" s="45">
        <f t="shared" ref="T56:V56" si="18">$S56*T54*8</f>
        <v>5.442666667</v>
      </c>
      <c r="U56" s="45">
        <f t="shared" si="18"/>
        <v>72.38746667</v>
      </c>
      <c r="V56" s="46">
        <f t="shared" si="18"/>
        <v>-66.9448</v>
      </c>
    </row>
    <row r="57">
      <c r="A57" s="104"/>
      <c r="B57" s="89"/>
      <c r="C57" s="86" t="s">
        <v>54</v>
      </c>
      <c r="D57" s="21">
        <f>D47</f>
        <v>210</v>
      </c>
      <c r="E57" s="87">
        <f t="shared" si="19"/>
        <v>210</v>
      </c>
      <c r="F57" s="42"/>
      <c r="G57" s="30" t="s">
        <v>55</v>
      </c>
      <c r="H57" s="75"/>
      <c r="I57" s="23"/>
      <c r="J57" s="75"/>
      <c r="K57" s="75"/>
      <c r="L57" s="75"/>
      <c r="M57" s="75"/>
      <c r="N57" s="75"/>
      <c r="O57" s="75"/>
      <c r="P57" s="75"/>
      <c r="Q57" s="75"/>
      <c r="R57" s="75"/>
      <c r="S57" s="23"/>
      <c r="T57" s="27"/>
      <c r="U57" s="27"/>
      <c r="V57" s="31"/>
    </row>
    <row r="58">
      <c r="A58" s="104"/>
      <c r="B58" s="89"/>
      <c r="C58" s="86" t="s">
        <v>57</v>
      </c>
      <c r="D58" s="21">
        <v>65.0</v>
      </c>
      <c r="E58" s="87">
        <f t="shared" si="19"/>
        <v>65</v>
      </c>
      <c r="F58" s="42"/>
      <c r="G58" s="30">
        <v>17.0</v>
      </c>
      <c r="H58" s="75"/>
      <c r="I58" s="23"/>
      <c r="J58" s="75"/>
      <c r="K58" s="75"/>
      <c r="L58" s="75"/>
      <c r="M58" s="75"/>
      <c r="N58" s="75"/>
      <c r="O58" s="75"/>
      <c r="P58" s="75"/>
      <c r="Q58" s="75"/>
      <c r="R58" s="75"/>
      <c r="S58" s="23"/>
      <c r="T58" s="27"/>
      <c r="U58" s="27"/>
      <c r="V58" s="31"/>
    </row>
    <row r="59">
      <c r="A59" s="104"/>
      <c r="B59" s="89"/>
      <c r="C59" s="86" t="s">
        <v>59</v>
      </c>
      <c r="D59" s="48">
        <f>'DEFAULT CLUBS-COMMON'!D59</f>
        <v>35</v>
      </c>
      <c r="E59" s="87">
        <f t="shared" si="19"/>
        <v>35</v>
      </c>
      <c r="F59" s="49"/>
      <c r="G59" s="50"/>
      <c r="H59" s="75"/>
      <c r="I59" s="23"/>
      <c r="J59" s="75"/>
      <c r="K59" s="75"/>
      <c r="L59" s="75"/>
      <c r="M59" s="75"/>
      <c r="N59" s="75"/>
      <c r="O59" s="75"/>
      <c r="P59" s="75"/>
      <c r="Q59" s="75"/>
      <c r="R59" s="75"/>
      <c r="S59" s="23"/>
      <c r="T59" s="27"/>
      <c r="U59" s="27"/>
      <c r="V59" s="31"/>
    </row>
    <row r="60">
      <c r="A60" s="104"/>
      <c r="B60" s="89"/>
      <c r="C60" s="86" t="s">
        <v>61</v>
      </c>
      <c r="D60" s="59">
        <f>D70</f>
        <v>23</v>
      </c>
      <c r="E60" s="87">
        <f t="shared" si="19"/>
        <v>23</v>
      </c>
      <c r="F60" s="42"/>
      <c r="G60" s="50"/>
      <c r="H60" s="75"/>
      <c r="I60" s="23"/>
      <c r="J60" s="75"/>
      <c r="K60" s="75"/>
      <c r="L60" s="75"/>
      <c r="M60" s="75"/>
      <c r="N60" s="75"/>
      <c r="O60" s="75"/>
      <c r="P60" s="75"/>
      <c r="Q60" s="75"/>
      <c r="R60" s="75"/>
      <c r="S60" s="23"/>
      <c r="T60" s="27"/>
      <c r="U60" s="27"/>
      <c r="V60" s="31"/>
    </row>
    <row r="61">
      <c r="A61" s="104"/>
      <c r="B61" s="90"/>
      <c r="C61" s="91" t="s">
        <v>62</v>
      </c>
      <c r="D61" s="60">
        <f>D51</f>
        <v>150</v>
      </c>
      <c r="E61" s="92">
        <f t="shared" si="19"/>
        <v>150</v>
      </c>
      <c r="F61" s="61"/>
      <c r="G61" s="55"/>
      <c r="H61" s="93"/>
      <c r="I61" s="56"/>
      <c r="J61" s="93"/>
      <c r="K61" s="93"/>
      <c r="L61" s="93"/>
      <c r="M61" s="93"/>
      <c r="N61" s="93"/>
      <c r="O61" s="93"/>
      <c r="P61" s="93"/>
      <c r="Q61" s="93"/>
      <c r="R61" s="93"/>
      <c r="S61" s="56"/>
      <c r="T61" s="57"/>
      <c r="U61" s="57"/>
      <c r="V61" s="58"/>
    </row>
    <row r="62">
      <c r="A62" s="104"/>
      <c r="B62" s="64"/>
      <c r="C62" s="65"/>
      <c r="D62" s="66"/>
      <c r="E62" s="66"/>
      <c r="F62" s="12"/>
      <c r="G62" s="13"/>
      <c r="H62" s="68" t="s">
        <v>27</v>
      </c>
      <c r="I62" s="14"/>
      <c r="J62" s="68"/>
      <c r="K62" s="68" t="s">
        <v>28</v>
      </c>
      <c r="L62" s="69">
        <f>RANDBETWEEN(0,3)</f>
        <v>0</v>
      </c>
      <c r="M62" s="68" t="s">
        <v>29</v>
      </c>
      <c r="N62" s="70">
        <v>1.0</v>
      </c>
      <c r="O62" s="68"/>
      <c r="P62" s="68"/>
      <c r="Q62" s="68"/>
      <c r="R62" s="68"/>
      <c r="S62" s="16"/>
      <c r="T62" s="17"/>
      <c r="U62" s="17"/>
      <c r="V62" s="18"/>
    </row>
    <row r="63">
      <c r="A63" s="104"/>
      <c r="B63" s="71"/>
      <c r="C63" s="72"/>
      <c r="D63" s="73"/>
      <c r="E63" s="73"/>
      <c r="F63" s="21"/>
      <c r="G63" s="22"/>
      <c r="H63" s="75"/>
      <c r="I63" s="23"/>
      <c r="J63" s="75"/>
      <c r="K63" s="75"/>
      <c r="L63" s="76" t="s">
        <v>33</v>
      </c>
      <c r="M63" s="76" t="s">
        <v>33</v>
      </c>
      <c r="N63" s="75"/>
      <c r="O63" s="75"/>
      <c r="P63" s="75"/>
      <c r="Q63" s="75"/>
      <c r="R63" s="75"/>
      <c r="S63" s="25"/>
      <c r="T63" s="26"/>
      <c r="U63" s="27" t="s">
        <v>34</v>
      </c>
      <c r="V63" s="28"/>
    </row>
    <row r="64">
      <c r="A64" s="104"/>
      <c r="B64" s="71"/>
      <c r="C64" s="72"/>
      <c r="D64" s="73"/>
      <c r="E64" s="73"/>
      <c r="F64" s="29" t="s">
        <v>31</v>
      </c>
      <c r="G64" s="30"/>
      <c r="H64" s="75"/>
      <c r="I64" s="23"/>
      <c r="J64" s="75"/>
      <c r="K64" s="75"/>
      <c r="L64" s="78">
        <f>VLOOKUP(L63,RECOVERY!$AA$8:$AP$10,8,FALSE)</f>
        <v>1.25</v>
      </c>
      <c r="M64" s="78">
        <f>VLOOKUP(M63,RECOVERY!$AA$27:$AP$29,8,FALSE)</f>
        <v>0.75</v>
      </c>
      <c r="N64" s="78">
        <v>-1.5</v>
      </c>
      <c r="O64" s="78">
        <v>0.0</v>
      </c>
      <c r="P64" s="78">
        <v>1.5</v>
      </c>
      <c r="Q64" s="75"/>
      <c r="R64" s="78" t="s">
        <v>35</v>
      </c>
      <c r="S64" s="25"/>
      <c r="T64" s="27">
        <v>0.1</v>
      </c>
      <c r="U64" s="27">
        <v>1.33</v>
      </c>
      <c r="V64" s="31">
        <v>-1.23</v>
      </c>
    </row>
    <row r="65">
      <c r="A65" s="104"/>
      <c r="B65" s="79" t="s">
        <v>7</v>
      </c>
      <c r="C65" s="80"/>
      <c r="D65" s="81" t="s">
        <v>36</v>
      </c>
      <c r="E65" s="82" t="s">
        <v>37</v>
      </c>
      <c r="F65" s="29" t="str">
        <f>SUM(F66:F71)&amp;"/55"</f>
        <v>0/55</v>
      </c>
      <c r="G65" s="30" t="s">
        <v>38</v>
      </c>
      <c r="H65" s="83" t="s">
        <v>39</v>
      </c>
      <c r="I65" s="36" t="s">
        <v>40</v>
      </c>
      <c r="J65" s="83" t="s">
        <v>41</v>
      </c>
      <c r="K65" s="83" t="s">
        <v>42</v>
      </c>
      <c r="L65" s="83" t="s">
        <v>43</v>
      </c>
      <c r="M65" s="83" t="s">
        <v>44</v>
      </c>
      <c r="N65" s="83" t="s">
        <v>45</v>
      </c>
      <c r="O65" s="83" t="s">
        <v>46</v>
      </c>
      <c r="P65" s="83" t="s">
        <v>47</v>
      </c>
      <c r="Q65" s="84" t="s">
        <v>48</v>
      </c>
      <c r="R65" s="36" t="s">
        <v>49</v>
      </c>
      <c r="S65" s="30" t="s">
        <v>50</v>
      </c>
      <c r="T65" s="37" t="s">
        <v>51</v>
      </c>
      <c r="U65" s="37" t="s">
        <v>45</v>
      </c>
      <c r="V65" s="38" t="s">
        <v>47</v>
      </c>
    </row>
    <row r="66">
      <c r="A66" s="104"/>
      <c r="B66" s="85" t="s">
        <v>18</v>
      </c>
      <c r="C66" s="86" t="s">
        <v>52</v>
      </c>
      <c r="D66" s="21">
        <f>D56-10</f>
        <v>90</v>
      </c>
      <c r="E66" s="87">
        <f t="shared" ref="E66:E71" si="22">D66+F66</f>
        <v>90</v>
      </c>
      <c r="F66" s="42"/>
      <c r="G66" s="30">
        <v>35.0</v>
      </c>
      <c r="H66" s="62">
        <f>$G$6+(E66/2)+$AB$6+(Z66/2)+$L$2</f>
        <v>113</v>
      </c>
      <c r="I66" s="30">
        <f>1-(E67/1000)</f>
        <v>0.785</v>
      </c>
      <c r="J66" s="88">
        <f>ROUND(POWER(E66/100,0.5),3)</f>
        <v>0.949</v>
      </c>
      <c r="K66" s="62">
        <f>(G68*J66*I66*N62)</f>
        <v>12.664405</v>
      </c>
      <c r="L66" s="62">
        <f>1+(L64-1)*(1-E70/500)</f>
        <v>1.2385</v>
      </c>
      <c r="M66" s="44">
        <f>M64+((1-M64)*0.5*E70/400)</f>
        <v>0.7571875</v>
      </c>
      <c r="N66" s="62">
        <f>(E69+(Q66*N64))/1.3</f>
        <v>24.32692308</v>
      </c>
      <c r="O66" s="62">
        <f t="shared" ref="O66:P66" si="20">(D69+(P66*O64))/1.3</f>
        <v>26.92307692</v>
      </c>
      <c r="P66" s="62">
        <f t="shared" si="20"/>
        <v>29.51923077</v>
      </c>
      <c r="Q66" s="88">
        <f>3*(E68/100)</f>
        <v>2.25</v>
      </c>
      <c r="R66" s="62">
        <f>E68*1*(VLOOKUP(B66,SPIN!$M$27:$N$40,2,FALSE))</f>
        <v>5250</v>
      </c>
      <c r="S66" s="30">
        <f>E68*2*3.14/60</f>
        <v>7.85</v>
      </c>
      <c r="T66" s="45">
        <f t="shared" ref="T66:V66" si="21">$S66*T64*8</f>
        <v>6.28</v>
      </c>
      <c r="U66" s="45">
        <f t="shared" si="21"/>
        <v>83.524</v>
      </c>
      <c r="V66" s="46">
        <f t="shared" si="21"/>
        <v>-77.244</v>
      </c>
    </row>
    <row r="67">
      <c r="A67" s="104"/>
      <c r="B67" s="89"/>
      <c r="C67" s="86" t="s">
        <v>54</v>
      </c>
      <c r="D67" s="21">
        <f>D57+5</f>
        <v>215</v>
      </c>
      <c r="E67" s="87">
        <f t="shared" si="22"/>
        <v>215</v>
      </c>
      <c r="F67" s="42"/>
      <c r="G67" s="30" t="s">
        <v>55</v>
      </c>
      <c r="H67" s="75"/>
      <c r="I67" s="23"/>
      <c r="J67" s="75"/>
      <c r="K67" s="75"/>
      <c r="L67" s="75"/>
      <c r="M67" s="75"/>
      <c r="N67" s="75"/>
      <c r="O67" s="75"/>
      <c r="P67" s="75"/>
      <c r="Q67" s="75"/>
      <c r="R67" s="75"/>
      <c r="S67" s="23"/>
      <c r="T67" s="27"/>
      <c r="U67" s="27"/>
      <c r="V67" s="31"/>
    </row>
    <row r="68">
      <c r="A68" s="104"/>
      <c r="B68" s="89"/>
      <c r="C68" s="86" t="s">
        <v>57</v>
      </c>
      <c r="D68" s="21">
        <v>75.0</v>
      </c>
      <c r="E68" s="87">
        <f t="shared" si="22"/>
        <v>75</v>
      </c>
      <c r="F68" s="42"/>
      <c r="G68" s="30">
        <v>17.0</v>
      </c>
      <c r="H68" s="75"/>
      <c r="I68" s="23"/>
      <c r="J68" s="75"/>
      <c r="K68" s="75"/>
      <c r="L68" s="75"/>
      <c r="M68" s="75"/>
      <c r="N68" s="75"/>
      <c r="O68" s="75"/>
      <c r="P68" s="75"/>
      <c r="Q68" s="75"/>
      <c r="R68" s="75"/>
      <c r="S68" s="23"/>
      <c r="T68" s="27"/>
      <c r="U68" s="27"/>
      <c r="V68" s="31"/>
    </row>
    <row r="69">
      <c r="A69" s="104"/>
      <c r="B69" s="89"/>
      <c r="C69" s="86" t="s">
        <v>59</v>
      </c>
      <c r="D69" s="48">
        <f>'DEFAULT CLUBS-COMMON'!D69</f>
        <v>35</v>
      </c>
      <c r="E69" s="87">
        <f t="shared" si="22"/>
        <v>35</v>
      </c>
      <c r="F69" s="49"/>
      <c r="G69" s="50"/>
      <c r="H69" s="75"/>
      <c r="I69" s="23"/>
      <c r="J69" s="75"/>
      <c r="K69" s="75"/>
      <c r="L69" s="75"/>
      <c r="M69" s="75"/>
      <c r="N69" s="75"/>
      <c r="O69" s="75"/>
      <c r="P69" s="75"/>
      <c r="Q69" s="75"/>
      <c r="R69" s="75"/>
      <c r="S69" s="23"/>
      <c r="T69" s="27"/>
      <c r="U69" s="27"/>
      <c r="V69" s="31"/>
    </row>
    <row r="70">
      <c r="A70" s="104"/>
      <c r="B70" s="89"/>
      <c r="C70" s="86" t="s">
        <v>61</v>
      </c>
      <c r="D70" s="59">
        <f>D80</f>
        <v>23</v>
      </c>
      <c r="E70" s="87">
        <f t="shared" si="22"/>
        <v>23</v>
      </c>
      <c r="F70" s="42"/>
      <c r="G70" s="50"/>
      <c r="H70" s="75"/>
      <c r="I70" s="23"/>
      <c r="J70" s="75"/>
      <c r="K70" s="75"/>
      <c r="L70" s="75"/>
      <c r="M70" s="75"/>
      <c r="N70" s="75"/>
      <c r="O70" s="75"/>
      <c r="P70" s="75"/>
      <c r="Q70" s="75"/>
      <c r="R70" s="75"/>
      <c r="S70" s="23"/>
      <c r="T70" s="27"/>
      <c r="U70" s="27"/>
      <c r="V70" s="31"/>
    </row>
    <row r="71">
      <c r="A71" s="104"/>
      <c r="B71" s="95"/>
      <c r="C71" s="91" t="s">
        <v>62</v>
      </c>
      <c r="D71" s="60">
        <f>D61</f>
        <v>150</v>
      </c>
      <c r="E71" s="92">
        <f t="shared" si="22"/>
        <v>150</v>
      </c>
      <c r="F71" s="61"/>
      <c r="G71" s="55"/>
      <c r="H71" s="93"/>
      <c r="I71" s="56"/>
      <c r="J71" s="93"/>
      <c r="K71" s="93"/>
      <c r="L71" s="93"/>
      <c r="M71" s="93"/>
      <c r="N71" s="93"/>
      <c r="O71" s="93"/>
      <c r="P71" s="93"/>
      <c r="Q71" s="93"/>
      <c r="R71" s="93"/>
      <c r="S71" s="56"/>
      <c r="T71" s="57"/>
      <c r="U71" s="57"/>
      <c r="V71" s="58"/>
    </row>
    <row r="72">
      <c r="A72" s="104"/>
      <c r="B72" s="64"/>
      <c r="C72" s="65"/>
      <c r="D72" s="66"/>
      <c r="E72" s="66"/>
      <c r="F72" s="12"/>
      <c r="G72" s="13"/>
      <c r="H72" s="68" t="s">
        <v>27</v>
      </c>
      <c r="I72" s="14"/>
      <c r="J72" s="68"/>
      <c r="K72" s="68" t="s">
        <v>28</v>
      </c>
      <c r="L72" s="69">
        <f>RANDBETWEEN(0,3)</f>
        <v>0</v>
      </c>
      <c r="M72" s="68" t="s">
        <v>29</v>
      </c>
      <c r="N72" s="70">
        <v>1.0</v>
      </c>
      <c r="O72" s="68"/>
      <c r="P72" s="68"/>
      <c r="Q72" s="68"/>
      <c r="R72" s="68"/>
      <c r="S72" s="16"/>
      <c r="T72" s="17"/>
      <c r="U72" s="17"/>
      <c r="V72" s="18"/>
    </row>
    <row r="73">
      <c r="A73" s="104"/>
      <c r="B73" s="71"/>
      <c r="C73" s="72"/>
      <c r="D73" s="73"/>
      <c r="E73" s="73"/>
      <c r="F73" s="21"/>
      <c r="G73" s="22"/>
      <c r="H73" s="75"/>
      <c r="I73" s="23"/>
      <c r="J73" s="75"/>
      <c r="K73" s="75"/>
      <c r="L73" s="76" t="s">
        <v>33</v>
      </c>
      <c r="M73" s="76" t="s">
        <v>33</v>
      </c>
      <c r="N73" s="75"/>
      <c r="O73" s="75"/>
      <c r="P73" s="75"/>
      <c r="Q73" s="75"/>
      <c r="R73" s="75"/>
      <c r="S73" s="25"/>
      <c r="T73" s="26"/>
      <c r="U73" s="27" t="s">
        <v>34</v>
      </c>
      <c r="V73" s="28"/>
    </row>
    <row r="74">
      <c r="A74" s="104"/>
      <c r="B74" s="71"/>
      <c r="C74" s="72"/>
      <c r="D74" s="73"/>
      <c r="E74" s="73"/>
      <c r="F74" s="29" t="s">
        <v>31</v>
      </c>
      <c r="G74" s="30"/>
      <c r="H74" s="75"/>
      <c r="I74" s="23"/>
      <c r="J74" s="75"/>
      <c r="K74" s="75"/>
      <c r="L74" s="78">
        <f>VLOOKUP(L73,RECOVERY!$AA$8:$AP$10,9,FALSE)</f>
        <v>1.25</v>
      </c>
      <c r="M74" s="78">
        <f>VLOOKUP(M73,RECOVERY!$AA$27:$AP$29,9,FALSE)</f>
        <v>0.75</v>
      </c>
      <c r="N74" s="78">
        <v>-1.5</v>
      </c>
      <c r="O74" s="78">
        <v>0.0</v>
      </c>
      <c r="P74" s="78">
        <v>1.5</v>
      </c>
      <c r="Q74" s="75"/>
      <c r="R74" s="78" t="s">
        <v>35</v>
      </c>
      <c r="S74" s="25"/>
      <c r="T74" s="27">
        <v>0.1</v>
      </c>
      <c r="U74" s="27">
        <v>1.33</v>
      </c>
      <c r="V74" s="31">
        <v>-1.23</v>
      </c>
    </row>
    <row r="75">
      <c r="A75" s="104"/>
      <c r="B75" s="79" t="s">
        <v>7</v>
      </c>
      <c r="C75" s="80"/>
      <c r="D75" s="81" t="s">
        <v>36</v>
      </c>
      <c r="E75" s="82" t="s">
        <v>37</v>
      </c>
      <c r="F75" s="29" t="str">
        <f>SUM(F76:F81)&amp;"/55"</f>
        <v>0/55</v>
      </c>
      <c r="G75" s="30" t="s">
        <v>38</v>
      </c>
      <c r="H75" s="83" t="s">
        <v>39</v>
      </c>
      <c r="I75" s="36" t="s">
        <v>40</v>
      </c>
      <c r="J75" s="83" t="s">
        <v>41</v>
      </c>
      <c r="K75" s="83" t="s">
        <v>42</v>
      </c>
      <c r="L75" s="83" t="s">
        <v>43</v>
      </c>
      <c r="M75" s="83" t="s">
        <v>44</v>
      </c>
      <c r="N75" s="83" t="s">
        <v>45</v>
      </c>
      <c r="O75" s="83" t="s">
        <v>46</v>
      </c>
      <c r="P75" s="83" t="s">
        <v>47</v>
      </c>
      <c r="Q75" s="84" t="s">
        <v>48</v>
      </c>
      <c r="R75" s="36" t="s">
        <v>49</v>
      </c>
      <c r="S75" s="30" t="s">
        <v>50</v>
      </c>
      <c r="T75" s="37" t="s">
        <v>51</v>
      </c>
      <c r="U75" s="37" t="s">
        <v>45</v>
      </c>
      <c r="V75" s="38" t="s">
        <v>47</v>
      </c>
    </row>
    <row r="76">
      <c r="A76" s="104"/>
      <c r="B76" s="85" t="s">
        <v>19</v>
      </c>
      <c r="C76" s="86" t="s">
        <v>52</v>
      </c>
      <c r="D76" s="21">
        <f>D66-10</f>
        <v>80</v>
      </c>
      <c r="E76" s="87">
        <f t="shared" ref="E76:E81" si="25">D76+F76</f>
        <v>80</v>
      </c>
      <c r="F76" s="42"/>
      <c r="G76" s="30">
        <v>35.0</v>
      </c>
      <c r="H76" s="62">
        <f>$G$6+(E76/2)+$AB$6+(Z76/2)+$L$2</f>
        <v>108</v>
      </c>
      <c r="I76" s="30">
        <f>1-(E77/1000)</f>
        <v>0.785</v>
      </c>
      <c r="J76" s="88">
        <f>ROUND(POWER(E76/100,0.5),3)</f>
        <v>0.894</v>
      </c>
      <c r="K76" s="62">
        <f>(G78*J76*I76*N72)</f>
        <v>11.93043</v>
      </c>
      <c r="L76" s="62">
        <f>1+(L74-1)*(1-E80/500)</f>
        <v>1.2385</v>
      </c>
      <c r="M76" s="44">
        <f>M74+((1-M74)*0.5*E80/400)</f>
        <v>0.7571875</v>
      </c>
      <c r="N76" s="62">
        <f>(E79+(Q76*N74))/1.3</f>
        <v>24.32692308</v>
      </c>
      <c r="O76" s="62">
        <f t="shared" ref="O76:P76" si="23">(D79+(P76*O74))/1.3</f>
        <v>26.92307692</v>
      </c>
      <c r="P76" s="62">
        <f t="shared" si="23"/>
        <v>29.51923077</v>
      </c>
      <c r="Q76" s="88">
        <f>3*(E78/100)</f>
        <v>2.25</v>
      </c>
      <c r="R76" s="62">
        <f>E78*1*(VLOOKUP(B76,SPIN!$M$27:$N$40,2,FALSE))</f>
        <v>5250</v>
      </c>
      <c r="S76" s="30">
        <f>E78*2*3.14/60</f>
        <v>7.85</v>
      </c>
      <c r="T76" s="45">
        <f t="shared" ref="T76:V76" si="24">$S76*T74*8</f>
        <v>6.28</v>
      </c>
      <c r="U76" s="45">
        <f t="shared" si="24"/>
        <v>83.524</v>
      </c>
      <c r="V76" s="46">
        <f t="shared" si="24"/>
        <v>-77.244</v>
      </c>
    </row>
    <row r="77">
      <c r="A77" s="104"/>
      <c r="B77" s="89"/>
      <c r="C77" s="86" t="s">
        <v>54</v>
      </c>
      <c r="D77" s="21">
        <f>D67</f>
        <v>215</v>
      </c>
      <c r="E77" s="87">
        <f t="shared" si="25"/>
        <v>215</v>
      </c>
      <c r="F77" s="42"/>
      <c r="G77" s="30" t="s">
        <v>55</v>
      </c>
      <c r="H77" s="75"/>
      <c r="I77" s="23"/>
      <c r="J77" s="75"/>
      <c r="K77" s="75"/>
      <c r="L77" s="75"/>
      <c r="M77" s="75"/>
      <c r="N77" s="75"/>
      <c r="O77" s="75"/>
      <c r="P77" s="75"/>
      <c r="Q77" s="75"/>
      <c r="R77" s="75"/>
      <c r="S77" s="23"/>
      <c r="T77" s="27"/>
      <c r="U77" s="27"/>
      <c r="V77" s="31"/>
    </row>
    <row r="78">
      <c r="A78" s="104"/>
      <c r="B78" s="89"/>
      <c r="C78" s="86" t="s">
        <v>57</v>
      </c>
      <c r="D78" s="21">
        <v>75.0</v>
      </c>
      <c r="E78" s="87">
        <f t="shared" si="25"/>
        <v>75</v>
      </c>
      <c r="F78" s="42"/>
      <c r="G78" s="30">
        <v>17.0</v>
      </c>
      <c r="H78" s="75"/>
      <c r="I78" s="23"/>
      <c r="J78" s="75"/>
      <c r="K78" s="75"/>
      <c r="L78" s="75"/>
      <c r="M78" s="75"/>
      <c r="N78" s="75"/>
      <c r="O78" s="75"/>
      <c r="P78" s="75"/>
      <c r="Q78" s="75"/>
      <c r="R78" s="75"/>
      <c r="S78" s="23"/>
      <c r="T78" s="27"/>
      <c r="U78" s="27"/>
      <c r="V78" s="31"/>
    </row>
    <row r="79">
      <c r="A79" s="104"/>
      <c r="B79" s="89"/>
      <c r="C79" s="86" t="s">
        <v>59</v>
      </c>
      <c r="D79" s="48">
        <f>'DEFAULT CLUBS-COMMON'!D79</f>
        <v>35</v>
      </c>
      <c r="E79" s="87">
        <f t="shared" si="25"/>
        <v>35</v>
      </c>
      <c r="F79" s="49"/>
      <c r="G79" s="50"/>
      <c r="H79" s="75"/>
      <c r="I79" s="23"/>
      <c r="J79" s="75"/>
      <c r="K79" s="75"/>
      <c r="L79" s="75"/>
      <c r="M79" s="75"/>
      <c r="N79" s="75"/>
      <c r="O79" s="75"/>
      <c r="P79" s="75"/>
      <c r="Q79" s="75"/>
      <c r="R79" s="75"/>
      <c r="S79" s="23"/>
      <c r="T79" s="27"/>
      <c r="U79" s="27"/>
      <c r="V79" s="31"/>
    </row>
    <row r="80">
      <c r="A80" s="104"/>
      <c r="B80" s="89"/>
      <c r="C80" s="86" t="s">
        <v>61</v>
      </c>
      <c r="D80" s="59">
        <f>D90-12</f>
        <v>23</v>
      </c>
      <c r="E80" s="87">
        <f t="shared" si="25"/>
        <v>23</v>
      </c>
      <c r="F80" s="42"/>
      <c r="G80" s="50"/>
      <c r="H80" s="75"/>
      <c r="I80" s="23"/>
      <c r="J80" s="75"/>
      <c r="K80" s="75"/>
      <c r="L80" s="75"/>
      <c r="M80" s="75"/>
      <c r="N80" s="75"/>
      <c r="O80" s="75"/>
      <c r="P80" s="75"/>
      <c r="Q80" s="75"/>
      <c r="R80" s="75"/>
      <c r="S80" s="23"/>
      <c r="T80" s="27"/>
      <c r="U80" s="27"/>
      <c r="V80" s="31"/>
    </row>
    <row r="81">
      <c r="A81" s="104"/>
      <c r="B81" s="90"/>
      <c r="C81" s="91" t="s">
        <v>62</v>
      </c>
      <c r="D81" s="60">
        <f>D71</f>
        <v>150</v>
      </c>
      <c r="E81" s="92">
        <f t="shared" si="25"/>
        <v>150</v>
      </c>
      <c r="F81" s="61"/>
      <c r="G81" s="55"/>
      <c r="H81" s="93"/>
      <c r="I81" s="56"/>
      <c r="J81" s="93"/>
      <c r="K81" s="93"/>
      <c r="L81" s="93"/>
      <c r="M81" s="93"/>
      <c r="N81" s="93"/>
      <c r="O81" s="93"/>
      <c r="P81" s="93"/>
      <c r="Q81" s="93"/>
      <c r="R81" s="93"/>
      <c r="S81" s="56"/>
      <c r="T81" s="57"/>
      <c r="U81" s="57"/>
      <c r="V81" s="58"/>
    </row>
    <row r="82">
      <c r="A82" s="104"/>
      <c r="B82" s="64"/>
      <c r="C82" s="65"/>
      <c r="D82" s="66"/>
      <c r="E82" s="66"/>
      <c r="F82" s="12"/>
      <c r="G82" s="13"/>
      <c r="H82" s="68" t="s">
        <v>27</v>
      </c>
      <c r="I82" s="14"/>
      <c r="J82" s="68"/>
      <c r="K82" s="68" t="s">
        <v>28</v>
      </c>
      <c r="L82" s="69">
        <f>RANDBETWEEN(0,3)</f>
        <v>0</v>
      </c>
      <c r="M82" s="68" t="s">
        <v>29</v>
      </c>
      <c r="N82" s="70">
        <v>1.0</v>
      </c>
      <c r="O82" s="68"/>
      <c r="P82" s="68"/>
      <c r="Q82" s="68"/>
      <c r="R82" s="68"/>
      <c r="S82" s="16"/>
      <c r="T82" s="17"/>
      <c r="U82" s="17"/>
      <c r="V82" s="18"/>
    </row>
    <row r="83">
      <c r="A83" s="104"/>
      <c r="B83" s="71"/>
      <c r="C83" s="72"/>
      <c r="D83" s="73"/>
      <c r="E83" s="73"/>
      <c r="F83" s="21"/>
      <c r="G83" s="22"/>
      <c r="H83" s="75"/>
      <c r="I83" s="23"/>
      <c r="J83" s="75"/>
      <c r="K83" s="75"/>
      <c r="L83" s="76" t="s">
        <v>33</v>
      </c>
      <c r="M83" s="76" t="s">
        <v>33</v>
      </c>
      <c r="N83" s="75"/>
      <c r="O83" s="75"/>
      <c r="P83" s="75"/>
      <c r="Q83" s="75"/>
      <c r="R83" s="75"/>
      <c r="S83" s="25"/>
      <c r="T83" s="26"/>
      <c r="U83" s="27" t="s">
        <v>34</v>
      </c>
      <c r="V83" s="28"/>
    </row>
    <row r="84">
      <c r="A84" s="104"/>
      <c r="B84" s="71"/>
      <c r="C84" s="72"/>
      <c r="D84" s="73"/>
      <c r="E84" s="73"/>
      <c r="F84" s="29" t="s">
        <v>31</v>
      </c>
      <c r="G84" s="30"/>
      <c r="H84" s="75"/>
      <c r="I84" s="23"/>
      <c r="J84" s="75"/>
      <c r="K84" s="75"/>
      <c r="L84" s="78">
        <f>VLOOKUP(L83,RECOVERY!$AA$8:$AP$10,10,FALSE)</f>
        <v>1.25</v>
      </c>
      <c r="M84" s="78">
        <f>VLOOKUP(M83,RECOVERY!$AA$27:$AP$29,10,FALSE)</f>
        <v>0.75</v>
      </c>
      <c r="N84" s="78">
        <v>-1.5</v>
      </c>
      <c r="O84" s="78">
        <v>0.0</v>
      </c>
      <c r="P84" s="78">
        <v>1.5</v>
      </c>
      <c r="Q84" s="75"/>
      <c r="R84" s="78" t="s">
        <v>35</v>
      </c>
      <c r="S84" s="25"/>
      <c r="T84" s="27">
        <v>0.1</v>
      </c>
      <c r="U84" s="27">
        <v>1.33</v>
      </c>
      <c r="V84" s="31">
        <v>-1.23</v>
      </c>
    </row>
    <row r="85">
      <c r="A85" s="104"/>
      <c r="B85" s="79" t="s">
        <v>7</v>
      </c>
      <c r="C85" s="80"/>
      <c r="D85" s="81" t="s">
        <v>36</v>
      </c>
      <c r="E85" s="82" t="s">
        <v>37</v>
      </c>
      <c r="F85" s="29" t="str">
        <f>SUM(F86:F91)&amp;"/55"</f>
        <v>0/55</v>
      </c>
      <c r="G85" s="30" t="s">
        <v>38</v>
      </c>
      <c r="H85" s="83" t="s">
        <v>39</v>
      </c>
      <c r="I85" s="36" t="s">
        <v>40</v>
      </c>
      <c r="J85" s="83" t="s">
        <v>41</v>
      </c>
      <c r="K85" s="83" t="s">
        <v>42</v>
      </c>
      <c r="L85" s="83" t="s">
        <v>43</v>
      </c>
      <c r="M85" s="83" t="s">
        <v>44</v>
      </c>
      <c r="N85" s="83" t="s">
        <v>45</v>
      </c>
      <c r="O85" s="83" t="s">
        <v>46</v>
      </c>
      <c r="P85" s="83" t="s">
        <v>47</v>
      </c>
      <c r="Q85" s="84" t="s">
        <v>48</v>
      </c>
      <c r="R85" s="36" t="s">
        <v>49</v>
      </c>
      <c r="S85" s="30" t="s">
        <v>50</v>
      </c>
      <c r="T85" s="37" t="s">
        <v>51</v>
      </c>
      <c r="U85" s="37" t="s">
        <v>45</v>
      </c>
      <c r="V85" s="38" t="s">
        <v>47</v>
      </c>
    </row>
    <row r="86">
      <c r="A86" s="104"/>
      <c r="B86" s="85" t="s">
        <v>20</v>
      </c>
      <c r="C86" s="86" t="s">
        <v>52</v>
      </c>
      <c r="D86" s="21">
        <f>D76-10</f>
        <v>70</v>
      </c>
      <c r="E86" s="87">
        <f t="shared" ref="E86:E91" si="28">D86+F86</f>
        <v>70</v>
      </c>
      <c r="F86" s="42"/>
      <c r="G86" s="30">
        <v>35.0</v>
      </c>
      <c r="H86" s="62">
        <f>$G$6+(E86/2)+$AB$6+(Z86/2)+$L$2</f>
        <v>103</v>
      </c>
      <c r="I86" s="30">
        <f>1-(E87/1000)</f>
        <v>0.78</v>
      </c>
      <c r="J86" s="88">
        <f>ROUND(POWER(E86/100,0.5),3)</f>
        <v>0.837</v>
      </c>
      <c r="K86" s="62">
        <f>(G88*J86*I86*N82)</f>
        <v>11.09862</v>
      </c>
      <c r="L86" s="62">
        <f>1+(L84-1)*(1-E90/500)</f>
        <v>1.2325</v>
      </c>
      <c r="M86" s="44">
        <f>M84+((1-M84)*0.5*E90/400)</f>
        <v>0.7609375</v>
      </c>
      <c r="N86" s="62">
        <f>(E89+(Q86*N84))/1.3</f>
        <v>24.32692308</v>
      </c>
      <c r="O86" s="62">
        <f t="shared" ref="O86:P86" si="26">(D89+(P86*O84))/1.3</f>
        <v>26.92307692</v>
      </c>
      <c r="P86" s="62">
        <f t="shared" si="26"/>
        <v>29.51923077</v>
      </c>
      <c r="Q86" s="88">
        <f>3*(E88/100)</f>
        <v>2.25</v>
      </c>
      <c r="R86" s="62">
        <f>E88*1*(VLOOKUP(B86,SPIN!$M$27:$N$40,2,FALSE))</f>
        <v>5250</v>
      </c>
      <c r="S86" s="30">
        <f>E88*2*3.14/60</f>
        <v>7.85</v>
      </c>
      <c r="T86" s="45">
        <f t="shared" ref="T86:V86" si="27">$S86*T84*8</f>
        <v>6.28</v>
      </c>
      <c r="U86" s="45">
        <f t="shared" si="27"/>
        <v>83.524</v>
      </c>
      <c r="V86" s="46">
        <f t="shared" si="27"/>
        <v>-77.244</v>
      </c>
    </row>
    <row r="87">
      <c r="A87" s="104"/>
      <c r="B87" s="89"/>
      <c r="C87" s="86" t="s">
        <v>54</v>
      </c>
      <c r="D87" s="21">
        <f>D77+5</f>
        <v>220</v>
      </c>
      <c r="E87" s="87">
        <f t="shared" si="28"/>
        <v>220</v>
      </c>
      <c r="F87" s="42"/>
      <c r="G87" s="30" t="s">
        <v>55</v>
      </c>
      <c r="H87" s="75"/>
      <c r="I87" s="23"/>
      <c r="J87" s="75"/>
      <c r="K87" s="75"/>
      <c r="L87" s="75"/>
      <c r="M87" s="75"/>
      <c r="N87" s="75"/>
      <c r="O87" s="75"/>
      <c r="P87" s="75"/>
      <c r="Q87" s="75"/>
      <c r="R87" s="75"/>
      <c r="S87" s="23"/>
      <c r="T87" s="27"/>
      <c r="U87" s="27"/>
      <c r="V87" s="31"/>
    </row>
    <row r="88">
      <c r="A88" s="104"/>
      <c r="B88" s="89"/>
      <c r="C88" s="86" t="s">
        <v>57</v>
      </c>
      <c r="D88" s="21">
        <v>75.0</v>
      </c>
      <c r="E88" s="87">
        <f t="shared" si="28"/>
        <v>75</v>
      </c>
      <c r="F88" s="42"/>
      <c r="G88" s="30">
        <v>17.0</v>
      </c>
      <c r="H88" s="75"/>
      <c r="I88" s="23"/>
      <c r="J88" s="75"/>
      <c r="K88" s="75"/>
      <c r="L88" s="75"/>
      <c r="M88" s="75"/>
      <c r="N88" s="75"/>
      <c r="O88" s="75"/>
      <c r="P88" s="75"/>
      <c r="Q88" s="75"/>
      <c r="R88" s="75"/>
      <c r="S88" s="23"/>
      <c r="T88" s="27"/>
      <c r="U88" s="27"/>
      <c r="V88" s="31"/>
    </row>
    <row r="89">
      <c r="A89" s="104"/>
      <c r="B89" s="89"/>
      <c r="C89" s="86" t="s">
        <v>59</v>
      </c>
      <c r="D89" s="48">
        <f>'DEFAULT CLUBS-COMMON'!D89</f>
        <v>35</v>
      </c>
      <c r="E89" s="87">
        <f t="shared" si="28"/>
        <v>35</v>
      </c>
      <c r="F89" s="49"/>
      <c r="G89" s="50"/>
      <c r="H89" s="75"/>
      <c r="I89" s="23"/>
      <c r="J89" s="75"/>
      <c r="K89" s="75"/>
      <c r="L89" s="75"/>
      <c r="M89" s="75"/>
      <c r="N89" s="75"/>
      <c r="O89" s="75"/>
      <c r="P89" s="75"/>
      <c r="Q89" s="75"/>
      <c r="R89" s="75"/>
      <c r="S89" s="23"/>
      <c r="T89" s="27"/>
      <c r="U89" s="27"/>
      <c r="V89" s="31"/>
    </row>
    <row r="90">
      <c r="A90" s="104"/>
      <c r="B90" s="89"/>
      <c r="C90" s="86" t="s">
        <v>61</v>
      </c>
      <c r="D90" s="59">
        <f>D100</f>
        <v>35</v>
      </c>
      <c r="E90" s="87">
        <f t="shared" si="28"/>
        <v>35</v>
      </c>
      <c r="F90" s="42"/>
      <c r="G90" s="50"/>
      <c r="H90" s="75"/>
      <c r="I90" s="23"/>
      <c r="J90" s="75"/>
      <c r="K90" s="75"/>
      <c r="L90" s="75"/>
      <c r="M90" s="75"/>
      <c r="N90" s="75"/>
      <c r="O90" s="75"/>
      <c r="P90" s="75"/>
      <c r="Q90" s="75"/>
      <c r="R90" s="75"/>
      <c r="S90" s="23"/>
      <c r="T90" s="27"/>
      <c r="U90" s="27"/>
      <c r="V90" s="31"/>
    </row>
    <row r="91">
      <c r="A91" s="104"/>
      <c r="B91" s="90"/>
      <c r="C91" s="91" t="s">
        <v>62</v>
      </c>
      <c r="D91" s="60">
        <f>D81</f>
        <v>150</v>
      </c>
      <c r="E91" s="92">
        <f t="shared" si="28"/>
        <v>150</v>
      </c>
      <c r="F91" s="61"/>
      <c r="G91" s="55"/>
      <c r="H91" s="93"/>
      <c r="I91" s="56"/>
      <c r="J91" s="93"/>
      <c r="K91" s="93"/>
      <c r="L91" s="93"/>
      <c r="M91" s="93"/>
      <c r="N91" s="93"/>
      <c r="O91" s="93"/>
      <c r="P91" s="93"/>
      <c r="Q91" s="93"/>
      <c r="R91" s="93"/>
      <c r="S91" s="56"/>
      <c r="T91" s="57"/>
      <c r="U91" s="57"/>
      <c r="V91" s="58"/>
    </row>
    <row r="92">
      <c r="A92" s="104"/>
      <c r="B92" s="64"/>
      <c r="C92" s="65"/>
      <c r="D92" s="66"/>
      <c r="E92" s="66"/>
      <c r="F92" s="12"/>
      <c r="G92" s="13"/>
      <c r="H92" s="68" t="s">
        <v>27</v>
      </c>
      <c r="I92" s="14"/>
      <c r="J92" s="68"/>
      <c r="K92" s="68" t="s">
        <v>28</v>
      </c>
      <c r="L92" s="69">
        <f>RANDBETWEEN(0,3)</f>
        <v>2</v>
      </c>
      <c r="M92" s="68" t="s">
        <v>29</v>
      </c>
      <c r="N92" s="70">
        <v>1.0</v>
      </c>
      <c r="O92" s="68"/>
      <c r="P92" s="68"/>
      <c r="Q92" s="68"/>
      <c r="R92" s="68"/>
      <c r="S92" s="16"/>
      <c r="T92" s="17"/>
      <c r="U92" s="17"/>
      <c r="V92" s="18"/>
    </row>
    <row r="93">
      <c r="A93" s="104"/>
      <c r="B93" s="71"/>
      <c r="C93" s="72"/>
      <c r="D93" s="73"/>
      <c r="E93" s="73"/>
      <c r="F93" s="21"/>
      <c r="G93" s="22"/>
      <c r="H93" s="75"/>
      <c r="I93" s="23"/>
      <c r="J93" s="75"/>
      <c r="K93" s="75"/>
      <c r="L93" s="76" t="s">
        <v>33</v>
      </c>
      <c r="M93" s="76" t="s">
        <v>33</v>
      </c>
      <c r="N93" s="75"/>
      <c r="O93" s="75"/>
      <c r="P93" s="75"/>
      <c r="Q93" s="75"/>
      <c r="R93" s="75"/>
      <c r="S93" s="25"/>
      <c r="T93" s="26"/>
      <c r="U93" s="27" t="s">
        <v>34</v>
      </c>
      <c r="V93" s="28"/>
    </row>
    <row r="94">
      <c r="A94" s="104"/>
      <c r="B94" s="71"/>
      <c r="C94" s="72"/>
      <c r="D94" s="73"/>
      <c r="E94" s="73"/>
      <c r="F94" s="29" t="s">
        <v>31</v>
      </c>
      <c r="G94" s="30"/>
      <c r="H94" s="75"/>
      <c r="I94" s="23"/>
      <c r="J94" s="75"/>
      <c r="K94" s="75"/>
      <c r="L94" s="78">
        <f>VLOOKUP(L93,RECOVERY!$AA$8:$AP$10,11,FALSE)</f>
        <v>1.2</v>
      </c>
      <c r="M94" s="78">
        <f>VLOOKUP(M93,RECOVERY!$AA$27:$AP$29,11,FALSE)</f>
        <v>0.75</v>
      </c>
      <c r="N94" s="78">
        <v>-1.5</v>
      </c>
      <c r="O94" s="78">
        <v>0.0</v>
      </c>
      <c r="P94" s="78">
        <v>1.5</v>
      </c>
      <c r="Q94" s="75"/>
      <c r="R94" s="78" t="s">
        <v>35</v>
      </c>
      <c r="S94" s="25"/>
      <c r="T94" s="27">
        <v>0.1</v>
      </c>
      <c r="U94" s="27">
        <v>1.33</v>
      </c>
      <c r="V94" s="31">
        <v>-1.23</v>
      </c>
    </row>
    <row r="95">
      <c r="A95" s="104"/>
      <c r="B95" s="79" t="s">
        <v>7</v>
      </c>
      <c r="C95" s="80"/>
      <c r="D95" s="81" t="s">
        <v>36</v>
      </c>
      <c r="E95" s="82" t="s">
        <v>37</v>
      </c>
      <c r="F95" s="29" t="str">
        <f>SUM(F96:F101)&amp;"/55"</f>
        <v>0/55</v>
      </c>
      <c r="G95" s="30" t="s">
        <v>38</v>
      </c>
      <c r="H95" s="83" t="s">
        <v>39</v>
      </c>
      <c r="I95" s="36" t="s">
        <v>40</v>
      </c>
      <c r="J95" s="83" t="s">
        <v>41</v>
      </c>
      <c r="K95" s="83" t="s">
        <v>42</v>
      </c>
      <c r="L95" s="83" t="s">
        <v>43</v>
      </c>
      <c r="M95" s="83" t="s">
        <v>44</v>
      </c>
      <c r="N95" s="83" t="s">
        <v>45</v>
      </c>
      <c r="O95" s="83" t="s">
        <v>46</v>
      </c>
      <c r="P95" s="83" t="s">
        <v>47</v>
      </c>
      <c r="Q95" s="84" t="s">
        <v>48</v>
      </c>
      <c r="R95" s="36" t="s">
        <v>49</v>
      </c>
      <c r="S95" s="30" t="s">
        <v>50</v>
      </c>
      <c r="T95" s="37" t="s">
        <v>51</v>
      </c>
      <c r="U95" s="37" t="s">
        <v>45</v>
      </c>
      <c r="V95" s="38" t="s">
        <v>47</v>
      </c>
    </row>
    <row r="96">
      <c r="A96" s="104"/>
      <c r="B96" s="85" t="s">
        <v>21</v>
      </c>
      <c r="C96" s="86" t="s">
        <v>52</v>
      </c>
      <c r="D96" s="21">
        <f>D86-10</f>
        <v>60</v>
      </c>
      <c r="E96" s="87">
        <f t="shared" ref="E96:E101" si="31">D96+F96</f>
        <v>60</v>
      </c>
      <c r="F96" s="42"/>
      <c r="G96" s="30">
        <v>35.0</v>
      </c>
      <c r="H96" s="62">
        <f>$G$6+(E96/2)+$AB$6+(Z96/2)+$L$2</f>
        <v>98</v>
      </c>
      <c r="I96" s="30">
        <f>1-(E97/1000)</f>
        <v>0.78</v>
      </c>
      <c r="J96" s="88">
        <f>ROUND(POWER(E96/100,0.5),3)</f>
        <v>0.775</v>
      </c>
      <c r="K96" s="62">
        <f>(G98*J96*I96*N92)</f>
        <v>10.2765</v>
      </c>
      <c r="L96" s="62">
        <f>1+(L94-1)*(1-E100/500)</f>
        <v>1.186</v>
      </c>
      <c r="M96" s="44">
        <f>M94+((1-M94)*0.5*E100/400)</f>
        <v>0.7609375</v>
      </c>
      <c r="N96" s="62">
        <f>(E99+(Q96*N94))/1.3</f>
        <v>26.46153846</v>
      </c>
      <c r="O96" s="62">
        <f t="shared" ref="O96:P96" si="29">(D99+(P96*O94))/1.3</f>
        <v>29.23076923</v>
      </c>
      <c r="P96" s="62">
        <f t="shared" si="29"/>
        <v>32</v>
      </c>
      <c r="Q96" s="88">
        <f>3*(E98/100)</f>
        <v>2.4</v>
      </c>
      <c r="R96" s="62">
        <f>E98*1*(VLOOKUP(B96,SPIN!$M$27:$N$40,2,FALSE))</f>
        <v>6400</v>
      </c>
      <c r="S96" s="30">
        <f>E98*2*3.14/60</f>
        <v>8.373333333</v>
      </c>
      <c r="T96" s="45">
        <f t="shared" ref="T96:V96" si="30">$S96*T94*8</f>
        <v>6.698666667</v>
      </c>
      <c r="U96" s="45">
        <f t="shared" si="30"/>
        <v>89.09226667</v>
      </c>
      <c r="V96" s="46">
        <f t="shared" si="30"/>
        <v>-82.3936</v>
      </c>
    </row>
    <row r="97">
      <c r="A97" s="104"/>
      <c r="B97" s="89"/>
      <c r="C97" s="86" t="s">
        <v>54</v>
      </c>
      <c r="D97" s="21">
        <f>D87</f>
        <v>220</v>
      </c>
      <c r="E97" s="87">
        <f t="shared" si="31"/>
        <v>220</v>
      </c>
      <c r="F97" s="42"/>
      <c r="G97" s="30" t="s">
        <v>55</v>
      </c>
      <c r="H97" s="75"/>
      <c r="I97" s="23"/>
      <c r="J97" s="75"/>
      <c r="K97" s="75"/>
      <c r="L97" s="75"/>
      <c r="M97" s="75"/>
      <c r="N97" s="75"/>
      <c r="O97" s="75"/>
      <c r="P97" s="75"/>
      <c r="Q97" s="75"/>
      <c r="R97" s="75"/>
      <c r="S97" s="23"/>
      <c r="T97" s="27"/>
      <c r="U97" s="27"/>
      <c r="V97" s="31"/>
    </row>
    <row r="98">
      <c r="A98" s="104"/>
      <c r="B98" s="89"/>
      <c r="C98" s="86" t="s">
        <v>57</v>
      </c>
      <c r="D98" s="21">
        <v>80.0</v>
      </c>
      <c r="E98" s="87">
        <f t="shared" si="31"/>
        <v>80</v>
      </c>
      <c r="F98" s="42"/>
      <c r="G98" s="30">
        <v>17.0</v>
      </c>
      <c r="H98" s="75"/>
      <c r="I98" s="23"/>
      <c r="J98" s="75"/>
      <c r="K98" s="75"/>
      <c r="L98" s="75"/>
      <c r="M98" s="75"/>
      <c r="N98" s="75"/>
      <c r="O98" s="75"/>
      <c r="P98" s="75"/>
      <c r="Q98" s="75"/>
      <c r="R98" s="75"/>
      <c r="S98" s="23"/>
      <c r="T98" s="27"/>
      <c r="U98" s="27"/>
      <c r="V98" s="31"/>
    </row>
    <row r="99">
      <c r="A99" s="104"/>
      <c r="B99" s="89"/>
      <c r="C99" s="86" t="s">
        <v>59</v>
      </c>
      <c r="D99" s="48">
        <f>'DEFAULT CLUBS-COMMON'!D99</f>
        <v>38</v>
      </c>
      <c r="E99" s="87">
        <f t="shared" si="31"/>
        <v>38</v>
      </c>
      <c r="F99" s="49"/>
      <c r="G99" s="50"/>
      <c r="H99" s="75"/>
      <c r="I99" s="23"/>
      <c r="J99" s="75"/>
      <c r="K99" s="75"/>
      <c r="L99" s="75"/>
      <c r="M99" s="75"/>
      <c r="N99" s="75"/>
      <c r="O99" s="75"/>
      <c r="P99" s="75"/>
      <c r="Q99" s="75"/>
      <c r="R99" s="75"/>
      <c r="S99" s="23"/>
      <c r="T99" s="27"/>
      <c r="U99" s="27"/>
      <c r="V99" s="31"/>
    </row>
    <row r="100">
      <c r="A100" s="104"/>
      <c r="B100" s="89"/>
      <c r="C100" s="86" t="s">
        <v>61</v>
      </c>
      <c r="D100" s="59">
        <f>D110</f>
        <v>35</v>
      </c>
      <c r="E100" s="87">
        <f t="shared" si="31"/>
        <v>35</v>
      </c>
      <c r="F100" s="42"/>
      <c r="G100" s="50"/>
      <c r="H100" s="75"/>
      <c r="I100" s="23"/>
      <c r="J100" s="75"/>
      <c r="K100" s="75"/>
      <c r="L100" s="75"/>
      <c r="M100" s="75"/>
      <c r="N100" s="75"/>
      <c r="O100" s="75"/>
      <c r="P100" s="75"/>
      <c r="Q100" s="75"/>
      <c r="R100" s="75"/>
      <c r="S100" s="23"/>
      <c r="T100" s="27"/>
      <c r="U100" s="27"/>
      <c r="V100" s="31"/>
    </row>
    <row r="101">
      <c r="A101" s="104"/>
      <c r="B101" s="90"/>
      <c r="C101" s="91" t="s">
        <v>62</v>
      </c>
      <c r="D101" s="60">
        <f>D91</f>
        <v>150</v>
      </c>
      <c r="E101" s="92">
        <f t="shared" si="31"/>
        <v>150</v>
      </c>
      <c r="F101" s="61"/>
      <c r="G101" s="55"/>
      <c r="H101" s="93"/>
      <c r="I101" s="56"/>
      <c r="J101" s="93"/>
      <c r="K101" s="93"/>
      <c r="L101" s="93"/>
      <c r="M101" s="93"/>
      <c r="N101" s="93"/>
      <c r="O101" s="93"/>
      <c r="P101" s="93"/>
      <c r="Q101" s="93"/>
      <c r="R101" s="93"/>
      <c r="S101" s="56"/>
      <c r="T101" s="57"/>
      <c r="U101" s="57"/>
      <c r="V101" s="58"/>
    </row>
    <row r="102">
      <c r="A102" s="104"/>
      <c r="B102" s="64"/>
      <c r="C102" s="65"/>
      <c r="D102" s="66"/>
      <c r="E102" s="66"/>
      <c r="F102" s="12"/>
      <c r="G102" s="13"/>
      <c r="H102" s="68" t="s">
        <v>27</v>
      </c>
      <c r="I102" s="14"/>
      <c r="J102" s="68"/>
      <c r="K102" s="68" t="s">
        <v>28</v>
      </c>
      <c r="L102" s="69">
        <f>RANDBETWEEN(0,3)</f>
        <v>2</v>
      </c>
      <c r="M102" s="68" t="s">
        <v>29</v>
      </c>
      <c r="N102" s="70">
        <v>1.0</v>
      </c>
      <c r="O102" s="68"/>
      <c r="P102" s="68"/>
      <c r="Q102" s="68"/>
      <c r="R102" s="68"/>
      <c r="S102" s="16"/>
      <c r="T102" s="17"/>
      <c r="U102" s="17"/>
      <c r="V102" s="18"/>
    </row>
    <row r="103">
      <c r="A103" s="104"/>
      <c r="B103" s="71"/>
      <c r="C103" s="72"/>
      <c r="D103" s="73"/>
      <c r="E103" s="73"/>
      <c r="F103" s="21"/>
      <c r="G103" s="22"/>
      <c r="H103" s="75"/>
      <c r="I103" s="23"/>
      <c r="J103" s="75"/>
      <c r="K103" s="75"/>
      <c r="L103" s="76" t="s">
        <v>33</v>
      </c>
      <c r="M103" s="76" t="s">
        <v>33</v>
      </c>
      <c r="N103" s="75"/>
      <c r="O103" s="75"/>
      <c r="P103" s="75"/>
      <c r="Q103" s="75"/>
      <c r="R103" s="75"/>
      <c r="S103" s="25"/>
      <c r="T103" s="26"/>
      <c r="U103" s="27" t="s">
        <v>34</v>
      </c>
      <c r="V103" s="28"/>
    </row>
    <row r="104">
      <c r="A104" s="104"/>
      <c r="B104" s="71"/>
      <c r="C104" s="72"/>
      <c r="D104" s="73"/>
      <c r="E104" s="73"/>
      <c r="F104" s="29" t="s">
        <v>31</v>
      </c>
      <c r="G104" s="30"/>
      <c r="H104" s="75"/>
      <c r="I104" s="23"/>
      <c r="J104" s="75"/>
      <c r="K104" s="75"/>
      <c r="L104" s="78">
        <f>VLOOKUP(L103,RECOVERY!$AA$8:$AP$10,12,FALSE)</f>
        <v>1.2</v>
      </c>
      <c r="M104" s="78">
        <f>VLOOKUP(M103,RECOVERY!$AA$27:$AP$29,12,FALSE)</f>
        <v>0.75</v>
      </c>
      <c r="N104" s="78">
        <v>-1.5</v>
      </c>
      <c r="O104" s="78">
        <v>0.0</v>
      </c>
      <c r="P104" s="78">
        <v>1.5</v>
      </c>
      <c r="Q104" s="75"/>
      <c r="R104" s="78" t="s">
        <v>35</v>
      </c>
      <c r="S104" s="25"/>
      <c r="T104" s="27">
        <v>0.1</v>
      </c>
      <c r="U104" s="27">
        <v>1.33</v>
      </c>
      <c r="V104" s="31">
        <v>-1.23</v>
      </c>
    </row>
    <row r="105">
      <c r="A105" s="104"/>
      <c r="B105" s="79" t="s">
        <v>7</v>
      </c>
      <c r="C105" s="80"/>
      <c r="D105" s="81" t="s">
        <v>36</v>
      </c>
      <c r="E105" s="82" t="s">
        <v>37</v>
      </c>
      <c r="F105" s="29" t="str">
        <f>SUM(F106:F111)&amp;"/55"</f>
        <v>0/55</v>
      </c>
      <c r="G105" s="30" t="s">
        <v>38</v>
      </c>
      <c r="H105" s="83" t="s">
        <v>39</v>
      </c>
      <c r="I105" s="36" t="s">
        <v>40</v>
      </c>
      <c r="J105" s="83" t="s">
        <v>41</v>
      </c>
      <c r="K105" s="83" t="s">
        <v>42</v>
      </c>
      <c r="L105" s="83" t="s">
        <v>43</v>
      </c>
      <c r="M105" s="83" t="s">
        <v>44</v>
      </c>
      <c r="N105" s="83" t="s">
        <v>45</v>
      </c>
      <c r="O105" s="83" t="s">
        <v>46</v>
      </c>
      <c r="P105" s="83" t="s">
        <v>47</v>
      </c>
      <c r="Q105" s="84" t="s">
        <v>48</v>
      </c>
      <c r="R105" s="36" t="s">
        <v>49</v>
      </c>
      <c r="S105" s="30" t="s">
        <v>50</v>
      </c>
      <c r="T105" s="37" t="s">
        <v>51</v>
      </c>
      <c r="U105" s="37" t="s">
        <v>45</v>
      </c>
      <c r="V105" s="38" t="s">
        <v>47</v>
      </c>
    </row>
    <row r="106">
      <c r="A106" s="104"/>
      <c r="B106" s="85" t="s">
        <v>22</v>
      </c>
      <c r="C106" s="86" t="s">
        <v>52</v>
      </c>
      <c r="D106" s="21">
        <f>D96</f>
        <v>60</v>
      </c>
      <c r="E106" s="87">
        <f t="shared" ref="E106:E111" si="34">D106+F106</f>
        <v>60</v>
      </c>
      <c r="F106" s="42"/>
      <c r="G106" s="30">
        <v>35.0</v>
      </c>
      <c r="H106" s="62">
        <f>$G$6+(E106/2)+$AB$6+(Z106/2)+$L$2</f>
        <v>98</v>
      </c>
      <c r="I106" s="30">
        <f>1-(E107/1000)</f>
        <v>0.775</v>
      </c>
      <c r="J106" s="88">
        <f>ROUND(POWER(E106/100,0.5),3)</f>
        <v>0.775</v>
      </c>
      <c r="K106" s="62">
        <f>(G108*J106*I106*N102)</f>
        <v>10.210625</v>
      </c>
      <c r="L106" s="62">
        <f>1+(L104-1)*(1-E110/500)</f>
        <v>1.186</v>
      </c>
      <c r="M106" s="44">
        <f>M104+((1-M104)*0.5*E110/400)</f>
        <v>0.7609375</v>
      </c>
      <c r="N106" s="62">
        <f>(E109+(Q106*N104))/1.3</f>
        <v>29.53846154</v>
      </c>
      <c r="O106" s="62">
        <f t="shared" ref="O106:P106" si="32">(D109+(P106*O104))/1.3</f>
        <v>32.30769231</v>
      </c>
      <c r="P106" s="62">
        <f t="shared" si="32"/>
        <v>35.07692308</v>
      </c>
      <c r="Q106" s="88">
        <f>3*(E108/100)</f>
        <v>2.4</v>
      </c>
      <c r="R106" s="62">
        <f>E108*1*(VLOOKUP(B106,SPIN!$M$27:$N$40,2,FALSE))</f>
        <v>6400</v>
      </c>
      <c r="S106" s="30">
        <f>E108*2*3.14/60</f>
        <v>8.373333333</v>
      </c>
      <c r="T106" s="45">
        <f t="shared" ref="T106:V106" si="33">$S106*T104*8</f>
        <v>6.698666667</v>
      </c>
      <c r="U106" s="45">
        <f t="shared" si="33"/>
        <v>89.09226667</v>
      </c>
      <c r="V106" s="46">
        <f t="shared" si="33"/>
        <v>-82.3936</v>
      </c>
    </row>
    <row r="107">
      <c r="A107" s="104"/>
      <c r="B107" s="89"/>
      <c r="C107" s="86" t="s">
        <v>54</v>
      </c>
      <c r="D107" s="21">
        <f>D97+5</f>
        <v>225</v>
      </c>
      <c r="E107" s="87">
        <f t="shared" si="34"/>
        <v>225</v>
      </c>
      <c r="F107" s="42"/>
      <c r="G107" s="30" t="s">
        <v>55</v>
      </c>
      <c r="H107" s="75"/>
      <c r="I107" s="23"/>
      <c r="J107" s="75"/>
      <c r="K107" s="75"/>
      <c r="L107" s="75"/>
      <c r="M107" s="75"/>
      <c r="N107" s="75"/>
      <c r="O107" s="75"/>
      <c r="P107" s="75"/>
      <c r="Q107" s="75"/>
      <c r="R107" s="75"/>
      <c r="S107" s="23"/>
      <c r="T107" s="27"/>
      <c r="U107" s="27"/>
      <c r="V107" s="31"/>
    </row>
    <row r="108">
      <c r="A108" s="104"/>
      <c r="B108" s="89"/>
      <c r="C108" s="86" t="s">
        <v>57</v>
      </c>
      <c r="D108" s="21">
        <v>80.0</v>
      </c>
      <c r="E108" s="87">
        <f t="shared" si="34"/>
        <v>80</v>
      </c>
      <c r="F108" s="42"/>
      <c r="G108" s="30">
        <v>17.0</v>
      </c>
      <c r="H108" s="75"/>
      <c r="I108" s="23"/>
      <c r="J108" s="75"/>
      <c r="K108" s="75"/>
      <c r="L108" s="75"/>
      <c r="M108" s="75"/>
      <c r="N108" s="75"/>
      <c r="O108" s="75"/>
      <c r="P108" s="75"/>
      <c r="Q108" s="75"/>
      <c r="R108" s="75"/>
      <c r="S108" s="23"/>
      <c r="T108" s="27"/>
      <c r="U108" s="27"/>
      <c r="V108" s="31"/>
    </row>
    <row r="109">
      <c r="A109" s="104"/>
      <c r="B109" s="89"/>
      <c r="C109" s="86" t="s">
        <v>59</v>
      </c>
      <c r="D109" s="48">
        <f>'DEFAULT CLUBS-COMMON'!D109</f>
        <v>42</v>
      </c>
      <c r="E109" s="87">
        <f t="shared" si="34"/>
        <v>42</v>
      </c>
      <c r="F109" s="49"/>
      <c r="G109" s="50"/>
      <c r="H109" s="75"/>
      <c r="I109" s="23"/>
      <c r="J109" s="75"/>
      <c r="K109" s="75"/>
      <c r="L109" s="75"/>
      <c r="M109" s="75"/>
      <c r="N109" s="75"/>
      <c r="O109" s="75"/>
      <c r="P109" s="75"/>
      <c r="Q109" s="75"/>
      <c r="R109" s="75"/>
      <c r="S109" s="23"/>
      <c r="T109" s="27"/>
      <c r="U109" s="27"/>
      <c r="V109" s="31"/>
    </row>
    <row r="110">
      <c r="A110" s="104"/>
      <c r="B110" s="89"/>
      <c r="C110" s="86" t="s">
        <v>61</v>
      </c>
      <c r="D110" s="59">
        <f>D120-20</f>
        <v>35</v>
      </c>
      <c r="E110" s="87">
        <f t="shared" si="34"/>
        <v>35</v>
      </c>
      <c r="F110" s="42"/>
      <c r="G110" s="50"/>
      <c r="H110" s="75"/>
      <c r="I110" s="23"/>
      <c r="J110" s="75"/>
      <c r="K110" s="75"/>
      <c r="L110" s="75"/>
      <c r="M110" s="75"/>
      <c r="N110" s="75"/>
      <c r="O110" s="75"/>
      <c r="P110" s="75"/>
      <c r="Q110" s="75"/>
      <c r="R110" s="75"/>
      <c r="S110" s="23"/>
      <c r="T110" s="27"/>
      <c r="U110" s="27"/>
      <c r="V110" s="31"/>
    </row>
    <row r="111">
      <c r="A111" s="104"/>
      <c r="B111" s="90"/>
      <c r="C111" s="91" t="s">
        <v>62</v>
      </c>
      <c r="D111" s="60">
        <f>D101</f>
        <v>150</v>
      </c>
      <c r="E111" s="92">
        <f t="shared" si="34"/>
        <v>150</v>
      </c>
      <c r="F111" s="61"/>
      <c r="G111" s="55"/>
      <c r="H111" s="93"/>
      <c r="I111" s="56"/>
      <c r="J111" s="93"/>
      <c r="K111" s="93"/>
      <c r="L111" s="93"/>
      <c r="M111" s="93"/>
      <c r="N111" s="93"/>
      <c r="O111" s="93"/>
      <c r="P111" s="93"/>
      <c r="Q111" s="93"/>
      <c r="R111" s="93"/>
      <c r="S111" s="56"/>
      <c r="T111" s="57"/>
      <c r="U111" s="57"/>
      <c r="V111" s="58"/>
    </row>
    <row r="112">
      <c r="A112" s="104"/>
      <c r="B112" s="64"/>
      <c r="C112" s="65"/>
      <c r="D112" s="66"/>
      <c r="E112" s="66"/>
      <c r="F112" s="12"/>
      <c r="G112" s="13"/>
      <c r="H112" s="68" t="s">
        <v>27</v>
      </c>
      <c r="I112" s="14"/>
      <c r="J112" s="68"/>
      <c r="K112" s="68" t="s">
        <v>28</v>
      </c>
      <c r="L112" s="69">
        <f>RANDBETWEEN(0,3)</f>
        <v>1</v>
      </c>
      <c r="M112" s="68" t="s">
        <v>29</v>
      </c>
      <c r="N112" s="70">
        <v>1.0</v>
      </c>
      <c r="O112" s="68"/>
      <c r="P112" s="68"/>
      <c r="Q112" s="68"/>
      <c r="R112" s="68"/>
      <c r="S112" s="16"/>
      <c r="T112" s="17"/>
      <c r="U112" s="17"/>
      <c r="V112" s="18"/>
    </row>
    <row r="113">
      <c r="A113" s="104"/>
      <c r="B113" s="71"/>
      <c r="C113" s="72"/>
      <c r="D113" s="73"/>
      <c r="E113" s="73"/>
      <c r="F113" s="21"/>
      <c r="G113" s="22"/>
      <c r="H113" s="75"/>
      <c r="I113" s="23"/>
      <c r="J113" s="75"/>
      <c r="K113" s="75"/>
      <c r="L113" s="76" t="s">
        <v>33</v>
      </c>
      <c r="M113" s="76" t="s">
        <v>33</v>
      </c>
      <c r="N113" s="75"/>
      <c r="O113" s="75"/>
      <c r="P113" s="75"/>
      <c r="Q113" s="75"/>
      <c r="R113" s="75"/>
      <c r="S113" s="25"/>
      <c r="T113" s="26"/>
      <c r="U113" s="27" t="s">
        <v>34</v>
      </c>
      <c r="V113" s="28"/>
    </row>
    <row r="114">
      <c r="A114" s="104"/>
      <c r="B114" s="71"/>
      <c r="C114" s="72"/>
      <c r="D114" s="73"/>
      <c r="E114" s="73"/>
      <c r="F114" s="29" t="s">
        <v>31</v>
      </c>
      <c r="G114" s="30"/>
      <c r="H114" s="75"/>
      <c r="I114" s="23"/>
      <c r="J114" s="75"/>
      <c r="K114" s="75"/>
      <c r="L114" s="78">
        <f>VLOOKUP(L113,RECOVERY!$AA$8:$AP$10,13,FALSE)</f>
        <v>1.15</v>
      </c>
      <c r="M114" s="78">
        <f>VLOOKUP(M113,RECOVERY!$AA$27:$AP$29,13,FALSE)</f>
        <v>0.85</v>
      </c>
      <c r="N114" s="78">
        <v>-1.5</v>
      </c>
      <c r="O114" s="78">
        <v>0.0</v>
      </c>
      <c r="P114" s="78">
        <v>1.5</v>
      </c>
      <c r="Q114" s="75"/>
      <c r="R114" s="78" t="s">
        <v>35</v>
      </c>
      <c r="S114" s="25"/>
      <c r="T114" s="27">
        <v>0.1</v>
      </c>
      <c r="U114" s="27">
        <v>1.33</v>
      </c>
      <c r="V114" s="31">
        <v>-1.23</v>
      </c>
    </row>
    <row r="115">
      <c r="A115" s="104"/>
      <c r="B115" s="79" t="s">
        <v>7</v>
      </c>
      <c r="C115" s="80"/>
      <c r="D115" s="81" t="s">
        <v>36</v>
      </c>
      <c r="E115" s="82" t="s">
        <v>37</v>
      </c>
      <c r="F115" s="29" t="str">
        <f>SUM(F116:F121)&amp;"/55"</f>
        <v>0/55</v>
      </c>
      <c r="G115" s="30" t="s">
        <v>38</v>
      </c>
      <c r="H115" s="83" t="s">
        <v>39</v>
      </c>
      <c r="I115" s="36" t="s">
        <v>40</v>
      </c>
      <c r="J115" s="83" t="s">
        <v>41</v>
      </c>
      <c r="K115" s="83" t="s">
        <v>42</v>
      </c>
      <c r="L115" s="83" t="s">
        <v>43</v>
      </c>
      <c r="M115" s="83" t="s">
        <v>44</v>
      </c>
      <c r="N115" s="83" t="s">
        <v>45</v>
      </c>
      <c r="O115" s="83" t="s">
        <v>46</v>
      </c>
      <c r="P115" s="83" t="s">
        <v>47</v>
      </c>
      <c r="Q115" s="84" t="s">
        <v>48</v>
      </c>
      <c r="R115" s="36" t="s">
        <v>49</v>
      </c>
      <c r="S115" s="30" t="s">
        <v>50</v>
      </c>
      <c r="T115" s="37" t="s">
        <v>51</v>
      </c>
      <c r="U115" s="37" t="s">
        <v>45</v>
      </c>
      <c r="V115" s="38" t="s">
        <v>47</v>
      </c>
    </row>
    <row r="116">
      <c r="A116" s="104"/>
      <c r="B116" s="85" t="s">
        <v>64</v>
      </c>
      <c r="C116" s="86" t="s">
        <v>52</v>
      </c>
      <c r="D116" s="21">
        <f t="shared" ref="D116:D117" si="37">D106</f>
        <v>60</v>
      </c>
      <c r="E116" s="87">
        <f t="shared" ref="E116:E121" si="38">D116+F116</f>
        <v>60</v>
      </c>
      <c r="F116" s="42"/>
      <c r="G116" s="30">
        <v>35.0</v>
      </c>
      <c r="H116" s="62">
        <f>$G$6+(E116/2)+$AB$6+(Z116/2)+$L$2</f>
        <v>98</v>
      </c>
      <c r="I116" s="30">
        <f>1-(E117/1000)</f>
        <v>0.775</v>
      </c>
      <c r="J116" s="88">
        <f>ROUND(POWER(E116/100,0.5),3)</f>
        <v>0.775</v>
      </c>
      <c r="K116" s="62">
        <f>(G118*J116*I116*N112)</f>
        <v>10.210625</v>
      </c>
      <c r="L116" s="62">
        <f>1+(L114-1)*(1-E120/500)</f>
        <v>1.1335</v>
      </c>
      <c r="M116" s="44">
        <f>M114+((1-M114)*0.5*E120/400)</f>
        <v>0.8603125</v>
      </c>
      <c r="N116" s="62">
        <f>(E119+(Q116*N114))/1.3</f>
        <v>31.70769231</v>
      </c>
      <c r="O116" s="62">
        <f t="shared" ref="O116:P116" si="35">(D119+(P116*O114))/1.3</f>
        <v>34.61538462</v>
      </c>
      <c r="P116" s="62">
        <f t="shared" si="35"/>
        <v>37.52307692</v>
      </c>
      <c r="Q116" s="88">
        <f>3*(E118/100)</f>
        <v>2.52</v>
      </c>
      <c r="R116" s="62">
        <f>E118*1*(VLOOKUP(B116,SPIN!$M$27:$N$40,2,FALSE))</f>
        <v>7560</v>
      </c>
      <c r="S116" s="30">
        <f>E118*2*3.14/60</f>
        <v>8.792</v>
      </c>
      <c r="T116" s="45">
        <f t="shared" ref="T116:V116" si="36">$S116*T114*8</f>
        <v>7.0336</v>
      </c>
      <c r="U116" s="45">
        <f t="shared" si="36"/>
        <v>93.54688</v>
      </c>
      <c r="V116" s="46">
        <f t="shared" si="36"/>
        <v>-86.51328</v>
      </c>
    </row>
    <row r="117">
      <c r="A117" s="104"/>
      <c r="B117" s="89"/>
      <c r="C117" s="86" t="s">
        <v>54</v>
      </c>
      <c r="D117" s="21">
        <f t="shared" si="37"/>
        <v>225</v>
      </c>
      <c r="E117" s="87">
        <f t="shared" si="38"/>
        <v>225</v>
      </c>
      <c r="F117" s="42"/>
      <c r="G117" s="30" t="s">
        <v>55</v>
      </c>
      <c r="H117" s="75"/>
      <c r="I117" s="23"/>
      <c r="J117" s="75"/>
      <c r="K117" s="75"/>
      <c r="L117" s="75"/>
      <c r="M117" s="75"/>
      <c r="N117" s="75"/>
      <c r="O117" s="75"/>
      <c r="P117" s="75"/>
      <c r="Q117" s="75"/>
      <c r="R117" s="75"/>
      <c r="S117" s="23"/>
      <c r="T117" s="27"/>
      <c r="U117" s="27"/>
      <c r="V117" s="31"/>
    </row>
    <row r="118">
      <c r="A118" s="104"/>
      <c r="B118" s="89"/>
      <c r="C118" s="86" t="s">
        <v>57</v>
      </c>
      <c r="D118" s="21">
        <v>84.0</v>
      </c>
      <c r="E118" s="87">
        <f t="shared" si="38"/>
        <v>84</v>
      </c>
      <c r="F118" s="42"/>
      <c r="G118" s="30">
        <v>17.0</v>
      </c>
      <c r="H118" s="75"/>
      <c r="I118" s="23"/>
      <c r="J118" s="75"/>
      <c r="K118" s="75"/>
      <c r="L118" s="75"/>
      <c r="M118" s="75"/>
      <c r="N118" s="75"/>
      <c r="O118" s="75"/>
      <c r="P118" s="75"/>
      <c r="Q118" s="75"/>
      <c r="R118" s="75"/>
      <c r="S118" s="23"/>
      <c r="T118" s="27"/>
      <c r="U118" s="27"/>
      <c r="V118" s="31"/>
    </row>
    <row r="119">
      <c r="A119" s="104"/>
      <c r="B119" s="89"/>
      <c r="C119" s="86" t="s">
        <v>59</v>
      </c>
      <c r="D119" s="48">
        <f>'DEFAULT CLUBS-COMMON'!D119</f>
        <v>45</v>
      </c>
      <c r="E119" s="87">
        <f t="shared" si="38"/>
        <v>45</v>
      </c>
      <c r="F119" s="49"/>
      <c r="G119" s="50"/>
      <c r="H119" s="75"/>
      <c r="I119" s="23"/>
      <c r="J119" s="75"/>
      <c r="K119" s="75"/>
      <c r="L119" s="75"/>
      <c r="M119" s="75"/>
      <c r="N119" s="75"/>
      <c r="O119" s="75"/>
      <c r="P119" s="75"/>
      <c r="Q119" s="75"/>
      <c r="R119" s="75"/>
      <c r="S119" s="23"/>
      <c r="T119" s="27"/>
      <c r="U119" s="27"/>
      <c r="V119" s="31"/>
    </row>
    <row r="120">
      <c r="A120" s="104"/>
      <c r="B120" s="89"/>
      <c r="C120" s="86" t="s">
        <v>61</v>
      </c>
      <c r="D120" s="59">
        <f>D130</f>
        <v>55</v>
      </c>
      <c r="E120" s="87">
        <f t="shared" si="38"/>
        <v>55</v>
      </c>
      <c r="F120" s="42"/>
      <c r="G120" s="50"/>
      <c r="H120" s="75"/>
      <c r="I120" s="23"/>
      <c r="J120" s="75"/>
      <c r="K120" s="75"/>
      <c r="L120" s="75"/>
      <c r="M120" s="75"/>
      <c r="N120" s="75"/>
      <c r="O120" s="75"/>
      <c r="P120" s="75"/>
      <c r="Q120" s="75"/>
      <c r="R120" s="75"/>
      <c r="S120" s="23"/>
      <c r="T120" s="27"/>
      <c r="U120" s="27"/>
      <c r="V120" s="31"/>
    </row>
    <row r="121">
      <c r="A121" s="104"/>
      <c r="B121" s="90"/>
      <c r="C121" s="91" t="s">
        <v>62</v>
      </c>
      <c r="D121" s="60">
        <f>D111</f>
        <v>150</v>
      </c>
      <c r="E121" s="92">
        <f t="shared" si="38"/>
        <v>150</v>
      </c>
      <c r="F121" s="61"/>
      <c r="G121" s="55"/>
      <c r="H121" s="93"/>
      <c r="I121" s="56"/>
      <c r="J121" s="93"/>
      <c r="K121" s="93"/>
      <c r="L121" s="93"/>
      <c r="M121" s="93"/>
      <c r="N121" s="93"/>
      <c r="O121" s="93"/>
      <c r="P121" s="93"/>
      <c r="Q121" s="93"/>
      <c r="R121" s="93"/>
      <c r="S121" s="56"/>
      <c r="T121" s="57"/>
      <c r="U121" s="57"/>
      <c r="V121" s="58"/>
    </row>
    <row r="122">
      <c r="A122" s="104"/>
      <c r="B122" s="64"/>
      <c r="C122" s="65"/>
      <c r="D122" s="66"/>
      <c r="E122" s="66"/>
      <c r="F122" s="12"/>
      <c r="G122" s="13"/>
      <c r="H122" s="68" t="s">
        <v>27</v>
      </c>
      <c r="I122" s="14"/>
      <c r="J122" s="68"/>
      <c r="K122" s="68" t="s">
        <v>28</v>
      </c>
      <c r="L122" s="69">
        <f>RANDBETWEEN(0,3)</f>
        <v>2</v>
      </c>
      <c r="M122" s="68" t="s">
        <v>29</v>
      </c>
      <c r="N122" s="70">
        <v>1.0</v>
      </c>
      <c r="O122" s="68"/>
      <c r="P122" s="68"/>
      <c r="Q122" s="68"/>
      <c r="R122" s="68"/>
      <c r="S122" s="16"/>
      <c r="T122" s="17"/>
      <c r="U122" s="17"/>
      <c r="V122" s="18"/>
    </row>
    <row r="123">
      <c r="A123" s="104"/>
      <c r="B123" s="71"/>
      <c r="C123" s="72"/>
      <c r="D123" s="73"/>
      <c r="E123" s="73"/>
      <c r="F123" s="21"/>
      <c r="G123" s="22"/>
      <c r="H123" s="75"/>
      <c r="I123" s="23"/>
      <c r="J123" s="75"/>
      <c r="K123" s="75"/>
      <c r="L123" s="76" t="s">
        <v>33</v>
      </c>
      <c r="M123" s="76" t="s">
        <v>33</v>
      </c>
      <c r="N123" s="75"/>
      <c r="O123" s="75"/>
      <c r="P123" s="75"/>
      <c r="Q123" s="75"/>
      <c r="R123" s="75"/>
      <c r="S123" s="25"/>
      <c r="T123" s="26"/>
      <c r="U123" s="27" t="s">
        <v>34</v>
      </c>
      <c r="V123" s="28"/>
    </row>
    <row r="124">
      <c r="A124" s="104"/>
      <c r="B124" s="71"/>
      <c r="C124" s="72"/>
      <c r="D124" s="73"/>
      <c r="E124" s="73"/>
      <c r="F124" s="29" t="s">
        <v>31</v>
      </c>
      <c r="G124" s="30"/>
      <c r="H124" s="75"/>
      <c r="I124" s="23"/>
      <c r="J124" s="75"/>
      <c r="K124" s="75"/>
      <c r="L124" s="78">
        <f>VLOOKUP(L123,RECOVERY!$AA$8:$AP$10,14,FALSE)</f>
        <v>1.15</v>
      </c>
      <c r="M124" s="78">
        <f>VLOOKUP(M123,RECOVERY!$AA$27:$AP$29,14,FALSE)</f>
        <v>0.85</v>
      </c>
      <c r="N124" s="78">
        <v>-1.5</v>
      </c>
      <c r="O124" s="78">
        <v>0.0</v>
      </c>
      <c r="P124" s="78">
        <v>1.5</v>
      </c>
      <c r="Q124" s="75"/>
      <c r="R124" s="78" t="s">
        <v>35</v>
      </c>
      <c r="S124" s="25"/>
      <c r="T124" s="27">
        <v>0.1</v>
      </c>
      <c r="U124" s="27">
        <v>1.33</v>
      </c>
      <c r="V124" s="31">
        <v>-1.23</v>
      </c>
    </row>
    <row r="125">
      <c r="A125" s="104"/>
      <c r="B125" s="79" t="s">
        <v>7</v>
      </c>
      <c r="C125" s="80"/>
      <c r="D125" s="81" t="s">
        <v>36</v>
      </c>
      <c r="E125" s="82" t="s">
        <v>37</v>
      </c>
      <c r="F125" s="29" t="str">
        <f>SUM(F126:F131)&amp;"/55"</f>
        <v>0/55</v>
      </c>
      <c r="G125" s="30" t="s">
        <v>38</v>
      </c>
      <c r="H125" s="83" t="s">
        <v>39</v>
      </c>
      <c r="I125" s="36" t="s">
        <v>40</v>
      </c>
      <c r="J125" s="83" t="s">
        <v>41</v>
      </c>
      <c r="K125" s="83" t="s">
        <v>42</v>
      </c>
      <c r="L125" s="83" t="s">
        <v>43</v>
      </c>
      <c r="M125" s="83" t="s">
        <v>44</v>
      </c>
      <c r="N125" s="83" t="s">
        <v>45</v>
      </c>
      <c r="O125" s="83" t="s">
        <v>46</v>
      </c>
      <c r="P125" s="83" t="s">
        <v>47</v>
      </c>
      <c r="Q125" s="84" t="s">
        <v>48</v>
      </c>
      <c r="R125" s="36" t="s">
        <v>49</v>
      </c>
      <c r="S125" s="30" t="s">
        <v>50</v>
      </c>
      <c r="T125" s="37" t="s">
        <v>51</v>
      </c>
      <c r="U125" s="37" t="s">
        <v>45</v>
      </c>
      <c r="V125" s="38" t="s">
        <v>47</v>
      </c>
    </row>
    <row r="126">
      <c r="A126" s="104"/>
      <c r="B126" s="85" t="s">
        <v>65</v>
      </c>
      <c r="C126" s="86" t="s">
        <v>52</v>
      </c>
      <c r="D126" s="21">
        <f>D116</f>
        <v>60</v>
      </c>
      <c r="E126" s="87">
        <f t="shared" ref="E126:E131" si="41">D126+F126</f>
        <v>60</v>
      </c>
      <c r="F126" s="42"/>
      <c r="G126" s="30">
        <v>35.0</v>
      </c>
      <c r="H126" s="62">
        <f>$G$6+(E126/2)+$AB$6+(Z126/2)+$L$2</f>
        <v>98</v>
      </c>
      <c r="I126" s="30">
        <f>1-(E127/1000)</f>
        <v>0.77</v>
      </c>
      <c r="J126" s="88">
        <f>ROUND(POWER(E126/100,0.5),3)</f>
        <v>0.775</v>
      </c>
      <c r="K126" s="62">
        <f>(G128*J126*I126*N122)</f>
        <v>10.14475</v>
      </c>
      <c r="L126" s="62">
        <f>1+(L124-1)*(1-E130/500)</f>
        <v>1.1335</v>
      </c>
      <c r="M126" s="44">
        <f>M124+((1-M124)*0.5*E130/400)</f>
        <v>0.8603125</v>
      </c>
      <c r="N126" s="62">
        <f>(E129+(Q126*N124))/1.3</f>
        <v>31.60384615</v>
      </c>
      <c r="O126" s="62">
        <f t="shared" ref="O126:P126" si="39">(D129+(P126*O124))/1.3</f>
        <v>34.61538462</v>
      </c>
      <c r="P126" s="62">
        <f t="shared" si="39"/>
        <v>37.62692308</v>
      </c>
      <c r="Q126" s="88">
        <f>3*(E128/100)</f>
        <v>2.61</v>
      </c>
      <c r="R126" s="62">
        <f>E128*1*(VLOOKUP(B126,SPIN!$M$27:$N$40,2,FALSE))</f>
        <v>7830</v>
      </c>
      <c r="S126" s="30">
        <f>E128*2*3.14/60</f>
        <v>9.106</v>
      </c>
      <c r="T126" s="45">
        <f t="shared" ref="T126:V126" si="40">$S126*T124*8</f>
        <v>7.2848</v>
      </c>
      <c r="U126" s="45">
        <f t="shared" si="40"/>
        <v>96.88784</v>
      </c>
      <c r="V126" s="46">
        <f t="shared" si="40"/>
        <v>-89.60304</v>
      </c>
    </row>
    <row r="127">
      <c r="A127" s="104"/>
      <c r="B127" s="89"/>
      <c r="C127" s="86" t="s">
        <v>54</v>
      </c>
      <c r="D127" s="21">
        <f>D117+5</f>
        <v>230</v>
      </c>
      <c r="E127" s="87">
        <f t="shared" si="41"/>
        <v>230</v>
      </c>
      <c r="F127" s="42"/>
      <c r="G127" s="30" t="s">
        <v>55</v>
      </c>
      <c r="H127" s="75"/>
      <c r="I127" s="23"/>
      <c r="J127" s="75"/>
      <c r="K127" s="75"/>
      <c r="L127" s="75"/>
      <c r="M127" s="75"/>
      <c r="N127" s="75"/>
      <c r="O127" s="75"/>
      <c r="P127" s="75"/>
      <c r="Q127" s="75"/>
      <c r="R127" s="75"/>
      <c r="S127" s="23"/>
      <c r="T127" s="27"/>
      <c r="U127" s="27"/>
      <c r="V127" s="31"/>
    </row>
    <row r="128">
      <c r="A128" s="104"/>
      <c r="B128" s="89"/>
      <c r="C128" s="86" t="s">
        <v>57</v>
      </c>
      <c r="D128" s="21">
        <v>87.0</v>
      </c>
      <c r="E128" s="87">
        <f t="shared" si="41"/>
        <v>87</v>
      </c>
      <c r="F128" s="42"/>
      <c r="G128" s="30">
        <v>17.0</v>
      </c>
      <c r="H128" s="75"/>
      <c r="I128" s="23"/>
      <c r="J128" s="75"/>
      <c r="K128" s="75"/>
      <c r="L128" s="75"/>
      <c r="M128" s="75"/>
      <c r="N128" s="75"/>
      <c r="O128" s="75"/>
      <c r="P128" s="75"/>
      <c r="Q128" s="75"/>
      <c r="R128" s="75"/>
      <c r="S128" s="23"/>
      <c r="T128" s="27"/>
      <c r="U128" s="27"/>
      <c r="V128" s="31"/>
    </row>
    <row r="129">
      <c r="A129" s="104"/>
      <c r="B129" s="89"/>
      <c r="C129" s="86" t="s">
        <v>59</v>
      </c>
      <c r="D129" s="48">
        <f>'DEFAULT CLUBS-COMMON'!D129</f>
        <v>45</v>
      </c>
      <c r="E129" s="87">
        <f t="shared" si="41"/>
        <v>45</v>
      </c>
      <c r="F129" s="49"/>
      <c r="G129" s="50"/>
      <c r="H129" s="75"/>
      <c r="I129" s="23"/>
      <c r="J129" s="75"/>
      <c r="K129" s="75"/>
      <c r="L129" s="75"/>
      <c r="M129" s="75"/>
      <c r="N129" s="75"/>
      <c r="O129" s="75"/>
      <c r="P129" s="75"/>
      <c r="Q129" s="75"/>
      <c r="R129" s="75"/>
      <c r="S129" s="23"/>
      <c r="T129" s="27"/>
      <c r="U129" s="27"/>
      <c r="V129" s="31"/>
    </row>
    <row r="130">
      <c r="A130" s="104"/>
      <c r="B130" s="89"/>
      <c r="C130" s="86" t="s">
        <v>61</v>
      </c>
      <c r="D130" s="59">
        <f>D140</f>
        <v>55</v>
      </c>
      <c r="E130" s="87">
        <f t="shared" si="41"/>
        <v>55</v>
      </c>
      <c r="F130" s="42"/>
      <c r="G130" s="50"/>
      <c r="H130" s="75"/>
      <c r="I130" s="23"/>
      <c r="J130" s="75"/>
      <c r="K130" s="75"/>
      <c r="L130" s="75"/>
      <c r="M130" s="75"/>
      <c r="N130" s="75"/>
      <c r="O130" s="75"/>
      <c r="P130" s="75"/>
      <c r="Q130" s="75"/>
      <c r="R130" s="75"/>
      <c r="S130" s="23"/>
      <c r="T130" s="27"/>
      <c r="U130" s="27"/>
      <c r="V130" s="31"/>
    </row>
    <row r="131">
      <c r="A131" s="104"/>
      <c r="B131" s="90"/>
      <c r="C131" s="91" t="s">
        <v>62</v>
      </c>
      <c r="D131" s="60">
        <f>D121</f>
        <v>150</v>
      </c>
      <c r="E131" s="92">
        <f t="shared" si="41"/>
        <v>150</v>
      </c>
      <c r="F131" s="61"/>
      <c r="G131" s="55"/>
      <c r="H131" s="93"/>
      <c r="I131" s="56"/>
      <c r="J131" s="93"/>
      <c r="K131" s="93"/>
      <c r="L131" s="93"/>
      <c r="M131" s="93"/>
      <c r="N131" s="93"/>
      <c r="O131" s="93"/>
      <c r="P131" s="93"/>
      <c r="Q131" s="93"/>
      <c r="R131" s="93"/>
      <c r="S131" s="56"/>
      <c r="T131" s="57"/>
      <c r="U131" s="57"/>
      <c r="V131" s="58"/>
    </row>
    <row r="132">
      <c r="A132" s="104"/>
      <c r="B132" s="64"/>
      <c r="C132" s="65"/>
      <c r="D132" s="66"/>
      <c r="E132" s="66"/>
      <c r="F132" s="12"/>
      <c r="G132" s="13"/>
      <c r="H132" s="68" t="s">
        <v>27</v>
      </c>
      <c r="I132" s="14"/>
      <c r="J132" s="68"/>
      <c r="K132" s="68" t="s">
        <v>28</v>
      </c>
      <c r="L132" s="69">
        <f>RANDBETWEEN(0,3)</f>
        <v>3</v>
      </c>
      <c r="M132" s="68" t="s">
        <v>29</v>
      </c>
      <c r="N132" s="105">
        <v>1.0</v>
      </c>
      <c r="O132" s="68"/>
      <c r="P132" s="68"/>
      <c r="Q132" s="68"/>
      <c r="R132" s="68"/>
      <c r="S132" s="16"/>
      <c r="T132" s="17"/>
      <c r="U132" s="17"/>
      <c r="V132" s="18"/>
    </row>
    <row r="133">
      <c r="A133" s="104"/>
      <c r="B133" s="71"/>
      <c r="C133" s="72"/>
      <c r="D133" s="73"/>
      <c r="E133" s="73"/>
      <c r="F133" s="21"/>
      <c r="G133" s="22"/>
      <c r="H133" s="75"/>
      <c r="I133" s="23"/>
      <c r="J133" s="75"/>
      <c r="K133" s="75"/>
      <c r="L133" s="76" t="s">
        <v>33</v>
      </c>
      <c r="M133" s="76" t="s">
        <v>33</v>
      </c>
      <c r="N133" s="75"/>
      <c r="O133" s="75"/>
      <c r="P133" s="75"/>
      <c r="Q133" s="75"/>
      <c r="R133" s="75"/>
      <c r="S133" s="25"/>
      <c r="T133" s="26"/>
      <c r="U133" s="27" t="s">
        <v>34</v>
      </c>
      <c r="V133" s="28"/>
    </row>
    <row r="134">
      <c r="A134" s="104"/>
      <c r="B134" s="71"/>
      <c r="C134" s="72"/>
      <c r="D134" s="73"/>
      <c r="E134" s="73"/>
      <c r="F134" s="29" t="s">
        <v>31</v>
      </c>
      <c r="G134" s="30"/>
      <c r="H134" s="75"/>
      <c r="I134" s="23"/>
      <c r="J134" s="75"/>
      <c r="K134" s="75"/>
      <c r="L134" s="78">
        <f>VLOOKUP(L133,RECOVERY!$AA$8:$AP$10,15,FALSE)</f>
        <v>1.15</v>
      </c>
      <c r="M134" s="78">
        <f>VLOOKUP(M133,RECOVERY!$AA$27:$AP$29,15,FALSE)</f>
        <v>0.85</v>
      </c>
      <c r="N134" s="78">
        <v>-1.5</v>
      </c>
      <c r="O134" s="78">
        <v>0.0</v>
      </c>
      <c r="P134" s="78">
        <v>1.5</v>
      </c>
      <c r="Q134" s="75"/>
      <c r="R134" s="78" t="s">
        <v>35</v>
      </c>
      <c r="S134" s="25"/>
      <c r="T134" s="27">
        <v>0.1</v>
      </c>
      <c r="U134" s="27">
        <v>1.33</v>
      </c>
      <c r="V134" s="31">
        <v>-1.23</v>
      </c>
    </row>
    <row r="135">
      <c r="A135" s="104"/>
      <c r="B135" s="79" t="s">
        <v>7</v>
      </c>
      <c r="C135" s="80"/>
      <c r="D135" s="81" t="s">
        <v>36</v>
      </c>
      <c r="E135" s="82" t="s">
        <v>37</v>
      </c>
      <c r="F135" s="29" t="str">
        <f>SUM(F136:F141)&amp;"/55"</f>
        <v>0/55</v>
      </c>
      <c r="G135" s="30" t="s">
        <v>38</v>
      </c>
      <c r="H135" s="83" t="s">
        <v>39</v>
      </c>
      <c r="I135" s="36" t="s">
        <v>40</v>
      </c>
      <c r="J135" s="83" t="s">
        <v>41</v>
      </c>
      <c r="K135" s="83" t="s">
        <v>42</v>
      </c>
      <c r="L135" s="83" t="s">
        <v>43</v>
      </c>
      <c r="M135" s="83" t="s">
        <v>44</v>
      </c>
      <c r="N135" s="83" t="s">
        <v>45</v>
      </c>
      <c r="O135" s="83" t="s">
        <v>46</v>
      </c>
      <c r="P135" s="83" t="s">
        <v>47</v>
      </c>
      <c r="Q135" s="84" t="s">
        <v>48</v>
      </c>
      <c r="R135" s="36" t="s">
        <v>49</v>
      </c>
      <c r="S135" s="30" t="s">
        <v>50</v>
      </c>
      <c r="T135" s="37" t="s">
        <v>51</v>
      </c>
      <c r="U135" s="37" t="s">
        <v>45</v>
      </c>
      <c r="V135" s="38" t="s">
        <v>47</v>
      </c>
    </row>
    <row r="136">
      <c r="A136" s="104"/>
      <c r="B136" s="85" t="s">
        <v>66</v>
      </c>
      <c r="C136" s="86" t="s">
        <v>52</v>
      </c>
      <c r="D136" s="21">
        <f t="shared" ref="D136:D137" si="44">D126</f>
        <v>60</v>
      </c>
      <c r="E136" s="87">
        <f t="shared" ref="E136:E141" si="45">D136+F136</f>
        <v>60</v>
      </c>
      <c r="F136" s="42"/>
      <c r="G136" s="30">
        <v>35.0</v>
      </c>
      <c r="H136" s="62">
        <f>$G$6+(E136/2)+$AB$6+(Z136/2)+$L$2</f>
        <v>98</v>
      </c>
      <c r="I136" s="30">
        <f>1-(E137/1000)</f>
        <v>0.77</v>
      </c>
      <c r="J136" s="88">
        <f>ROUND(POWER(E136/100,0.5),3)</f>
        <v>0.775</v>
      </c>
      <c r="K136" s="62">
        <f>(G138*J136*I136*N132)</f>
        <v>10.14475</v>
      </c>
      <c r="L136" s="62">
        <f>1+(L134-1)*(1-E140/500)</f>
        <v>1.1335</v>
      </c>
      <c r="M136" s="44">
        <f>M134+((1-M134)*0.5*E140/400)</f>
        <v>0.8603125</v>
      </c>
      <c r="N136" s="62">
        <f>(E139+(Q136*N134))/1.3</f>
        <v>38.42307692</v>
      </c>
      <c r="O136" s="62">
        <f t="shared" ref="O136:P136" si="42">(D139+(P136*O134))/1.3</f>
        <v>41.53846154</v>
      </c>
      <c r="P136" s="62">
        <f t="shared" si="42"/>
        <v>44.65384615</v>
      </c>
      <c r="Q136" s="88">
        <f>3*(E138/100)</f>
        <v>2.7</v>
      </c>
      <c r="R136" s="62">
        <f>E138*1*(VLOOKUP(B136,SPIN!$M$27:$N$40,2,FALSE))</f>
        <v>8100</v>
      </c>
      <c r="S136" s="30">
        <f>E138*2*3.14/60</f>
        <v>9.42</v>
      </c>
      <c r="T136" s="45">
        <f t="shared" ref="T136:V136" si="43">$S136*T134*8</f>
        <v>7.536</v>
      </c>
      <c r="U136" s="45">
        <f t="shared" si="43"/>
        <v>100.2288</v>
      </c>
      <c r="V136" s="46">
        <f t="shared" si="43"/>
        <v>-92.6928</v>
      </c>
    </row>
    <row r="137">
      <c r="A137" s="104"/>
      <c r="B137" s="89"/>
      <c r="C137" s="86" t="s">
        <v>54</v>
      </c>
      <c r="D137" s="21">
        <f t="shared" si="44"/>
        <v>230</v>
      </c>
      <c r="E137" s="87">
        <f t="shared" si="45"/>
        <v>230</v>
      </c>
      <c r="F137" s="42"/>
      <c r="G137" s="30" t="s">
        <v>55</v>
      </c>
      <c r="H137" s="75"/>
      <c r="I137" s="23"/>
      <c r="J137" s="75"/>
      <c r="K137" s="75"/>
      <c r="L137" s="75"/>
      <c r="M137" s="75"/>
      <c r="N137" s="75"/>
      <c r="O137" s="75"/>
      <c r="P137" s="75"/>
      <c r="Q137" s="75"/>
      <c r="R137" s="75"/>
      <c r="S137" s="23"/>
      <c r="T137" s="27"/>
      <c r="U137" s="27"/>
      <c r="V137" s="31"/>
    </row>
    <row r="138">
      <c r="A138" s="104"/>
      <c r="B138" s="89"/>
      <c r="C138" s="86" t="s">
        <v>57</v>
      </c>
      <c r="D138" s="21">
        <v>90.0</v>
      </c>
      <c r="E138" s="87">
        <f t="shared" si="45"/>
        <v>90</v>
      </c>
      <c r="F138" s="42"/>
      <c r="G138" s="30">
        <v>17.0</v>
      </c>
      <c r="H138" s="75"/>
      <c r="I138" s="23"/>
      <c r="J138" s="75"/>
      <c r="K138" s="75"/>
      <c r="L138" s="75"/>
      <c r="M138" s="75"/>
      <c r="N138" s="75"/>
      <c r="O138" s="75"/>
      <c r="P138" s="75"/>
      <c r="Q138" s="75"/>
      <c r="R138" s="75"/>
      <c r="S138" s="23"/>
      <c r="T138" s="27"/>
      <c r="U138" s="27"/>
      <c r="V138" s="31"/>
    </row>
    <row r="139">
      <c r="A139" s="104"/>
      <c r="B139" s="89"/>
      <c r="C139" s="86" t="s">
        <v>59</v>
      </c>
      <c r="D139" s="48">
        <f>'DEFAULT CLUBS-COMMON'!D139</f>
        <v>54</v>
      </c>
      <c r="E139" s="87">
        <f t="shared" si="45"/>
        <v>54</v>
      </c>
      <c r="F139" s="49"/>
      <c r="G139" s="50"/>
      <c r="H139" s="75"/>
      <c r="I139" s="23"/>
      <c r="J139" s="75"/>
      <c r="K139" s="75"/>
      <c r="L139" s="75"/>
      <c r="M139" s="75"/>
      <c r="N139" s="75"/>
      <c r="O139" s="75"/>
      <c r="P139" s="75"/>
      <c r="Q139" s="75"/>
      <c r="R139" s="75"/>
      <c r="S139" s="23"/>
      <c r="T139" s="27"/>
      <c r="U139" s="27"/>
      <c r="V139" s="31"/>
    </row>
    <row r="140">
      <c r="A140" s="104"/>
      <c r="B140" s="89"/>
      <c r="C140" s="86" t="s">
        <v>61</v>
      </c>
      <c r="D140" s="59">
        <v>55.0</v>
      </c>
      <c r="E140" s="87">
        <f t="shared" si="45"/>
        <v>55</v>
      </c>
      <c r="F140" s="42"/>
      <c r="G140" s="50"/>
      <c r="H140" s="75"/>
      <c r="I140" s="23"/>
      <c r="J140" s="75"/>
      <c r="K140" s="75"/>
      <c r="L140" s="75"/>
      <c r="M140" s="75"/>
      <c r="N140" s="75"/>
      <c r="O140" s="75"/>
      <c r="P140" s="75"/>
      <c r="Q140" s="75"/>
      <c r="R140" s="75"/>
      <c r="S140" s="23"/>
      <c r="T140" s="27"/>
      <c r="U140" s="27"/>
      <c r="V140" s="31"/>
    </row>
    <row r="141">
      <c r="A141" s="104"/>
      <c r="B141" s="90"/>
      <c r="C141" s="91" t="s">
        <v>62</v>
      </c>
      <c r="D141" s="60">
        <f>D131</f>
        <v>150</v>
      </c>
      <c r="E141" s="92">
        <f t="shared" si="45"/>
        <v>150</v>
      </c>
      <c r="F141" s="61"/>
      <c r="G141" s="55"/>
      <c r="H141" s="93"/>
      <c r="I141" s="56"/>
      <c r="J141" s="93"/>
      <c r="K141" s="93"/>
      <c r="L141" s="93"/>
      <c r="M141" s="93"/>
      <c r="N141" s="93"/>
      <c r="O141" s="93"/>
      <c r="P141" s="93"/>
      <c r="Q141" s="93"/>
      <c r="R141" s="93"/>
      <c r="S141" s="56"/>
      <c r="T141" s="57"/>
      <c r="U141" s="57"/>
      <c r="V141" s="58"/>
    </row>
    <row r="142">
      <c r="A142" s="104"/>
      <c r="B142" s="64"/>
      <c r="C142" s="65"/>
      <c r="D142" s="66"/>
      <c r="E142" s="66"/>
      <c r="F142" s="12"/>
      <c r="G142" s="13"/>
      <c r="H142" s="68" t="s">
        <v>27</v>
      </c>
      <c r="I142" s="14"/>
      <c r="J142" s="68"/>
      <c r="K142" s="68" t="s">
        <v>28</v>
      </c>
      <c r="L142" s="69">
        <f>RANDBETWEEN(0,3)</f>
        <v>2</v>
      </c>
      <c r="M142" s="68" t="s">
        <v>29</v>
      </c>
      <c r="N142" s="70">
        <v>1.0</v>
      </c>
      <c r="O142" s="68"/>
      <c r="P142" s="68"/>
      <c r="Q142" s="68"/>
      <c r="R142" s="68"/>
      <c r="S142" s="16"/>
      <c r="T142" s="17"/>
      <c r="U142" s="17"/>
      <c r="V142" s="18"/>
    </row>
    <row r="143">
      <c r="A143" s="104"/>
      <c r="B143" s="71"/>
      <c r="C143" s="72"/>
      <c r="D143" s="73"/>
      <c r="E143" s="73"/>
      <c r="F143" s="21"/>
      <c r="G143" s="22"/>
      <c r="H143" s="75"/>
      <c r="I143" s="23"/>
      <c r="J143" s="75"/>
      <c r="K143" s="75"/>
      <c r="L143" s="76" t="s">
        <v>33</v>
      </c>
      <c r="M143" s="76" t="s">
        <v>33</v>
      </c>
      <c r="N143" s="75"/>
      <c r="O143" s="75"/>
      <c r="P143" s="75"/>
      <c r="Q143" s="75"/>
      <c r="R143" s="75"/>
      <c r="S143" s="25"/>
      <c r="T143" s="26"/>
      <c r="U143" s="27" t="s">
        <v>34</v>
      </c>
      <c r="V143" s="28"/>
    </row>
    <row r="144">
      <c r="A144" s="104"/>
      <c r="B144" s="71"/>
      <c r="C144" s="72"/>
      <c r="D144" s="73"/>
      <c r="E144" s="73"/>
      <c r="F144" s="29" t="s">
        <v>31</v>
      </c>
      <c r="G144" s="30"/>
      <c r="H144" s="75"/>
      <c r="I144" s="23"/>
      <c r="J144" s="75"/>
      <c r="K144" s="75"/>
      <c r="L144" s="78">
        <f>VLOOKUP(L143,RECOVERY!$AA$8:$AP$10,2,FALSE)</f>
        <v>1.4</v>
      </c>
      <c r="M144" s="78">
        <f>VLOOKUP(M143,RECOVERY!$AA$27:$AP$29,2,FALSE)</f>
        <v>0.65</v>
      </c>
      <c r="N144" s="78">
        <v>-1.0</v>
      </c>
      <c r="O144" s="78">
        <v>0.0</v>
      </c>
      <c r="P144" s="78">
        <v>1.0</v>
      </c>
      <c r="Q144" s="75"/>
      <c r="R144" s="78" t="s">
        <v>35</v>
      </c>
      <c r="S144" s="25"/>
      <c r="T144" s="27">
        <v>0.1</v>
      </c>
      <c r="U144" s="27">
        <v>1.33</v>
      </c>
      <c r="V144" s="31">
        <v>-1.23</v>
      </c>
    </row>
    <row r="145">
      <c r="A145" s="104"/>
      <c r="B145" s="79" t="s">
        <v>7</v>
      </c>
      <c r="C145" s="80"/>
      <c r="D145" s="81" t="s">
        <v>36</v>
      </c>
      <c r="E145" s="82" t="s">
        <v>37</v>
      </c>
      <c r="F145" s="29" t="str">
        <f>SUM(F146:F151)&amp;"/55"</f>
        <v>0/55</v>
      </c>
      <c r="G145" s="30" t="s">
        <v>38</v>
      </c>
      <c r="H145" s="83" t="s">
        <v>39</v>
      </c>
      <c r="I145" s="36" t="s">
        <v>40</v>
      </c>
      <c r="J145" s="83" t="s">
        <v>41</v>
      </c>
      <c r="K145" s="83" t="s">
        <v>42</v>
      </c>
      <c r="L145" s="83" t="s">
        <v>43</v>
      </c>
      <c r="M145" s="83" t="s">
        <v>44</v>
      </c>
      <c r="N145" s="83" t="s">
        <v>45</v>
      </c>
      <c r="O145" s="83" t="s">
        <v>46</v>
      </c>
      <c r="P145" s="83" t="s">
        <v>47</v>
      </c>
      <c r="Q145" s="84" t="s">
        <v>48</v>
      </c>
      <c r="R145" s="36" t="s">
        <v>49</v>
      </c>
      <c r="S145" s="30" t="s">
        <v>50</v>
      </c>
      <c r="T145" s="37" t="s">
        <v>51</v>
      </c>
      <c r="U145" s="37" t="s">
        <v>45</v>
      </c>
      <c r="V145" s="38" t="s">
        <v>47</v>
      </c>
    </row>
    <row r="146">
      <c r="A146" s="104"/>
      <c r="B146" s="85" t="s">
        <v>67</v>
      </c>
      <c r="C146" s="86" t="s">
        <v>52</v>
      </c>
      <c r="D146" s="59">
        <v>16.0</v>
      </c>
      <c r="E146" s="87">
        <f t="shared" ref="E146:E151" si="47">D146+F146</f>
        <v>16</v>
      </c>
      <c r="F146" s="42"/>
      <c r="G146" s="30">
        <v>31.0</v>
      </c>
      <c r="H146" s="99">
        <f>E146</f>
        <v>16</v>
      </c>
      <c r="I146" s="30">
        <f>1-(E147/1000)</f>
        <v>0.765</v>
      </c>
      <c r="J146" s="88">
        <f>ROUND(POWER(E146/100,0.5),3)</f>
        <v>0.4</v>
      </c>
      <c r="K146" s="62">
        <f>(G148*J146*I146*N142)</f>
        <v>1.836</v>
      </c>
      <c r="L146" s="99" t="s">
        <v>68</v>
      </c>
      <c r="M146" s="99" t="s">
        <v>68</v>
      </c>
      <c r="N146" s="97" t="s">
        <v>68</v>
      </c>
      <c r="O146" s="111" t="str">
        <f>(D149+(P146*O144))/2</f>
        <v>#VALUE!</v>
      </c>
      <c r="P146" s="97" t="s">
        <v>68</v>
      </c>
      <c r="Q146" s="88">
        <f>3*(E148/100)</f>
        <v>0.03</v>
      </c>
      <c r="R146" s="62" t="str">
        <f>E148*1*(VLOOKUP(B146,SPIN!$M$27:$N$40,2,FALSE))</f>
        <v>#N/A</v>
      </c>
      <c r="S146" s="30">
        <f>E148*2*3.14/60</f>
        <v>0.1046666667</v>
      </c>
      <c r="T146" s="45">
        <f t="shared" ref="T146:V146" si="46">$S146*T144*8</f>
        <v>0.08373333333</v>
      </c>
      <c r="U146" s="45">
        <f t="shared" si="46"/>
        <v>1.113653333</v>
      </c>
      <c r="V146" s="46">
        <f t="shared" si="46"/>
        <v>-1.02992</v>
      </c>
    </row>
    <row r="147">
      <c r="A147" s="104"/>
      <c r="B147" s="89"/>
      <c r="C147" s="86" t="s">
        <v>54</v>
      </c>
      <c r="D147" s="21">
        <f>D137+5</f>
        <v>235</v>
      </c>
      <c r="E147" s="87">
        <f t="shared" si="47"/>
        <v>235</v>
      </c>
      <c r="F147" s="42"/>
      <c r="G147" s="30" t="s">
        <v>55</v>
      </c>
      <c r="H147" s="75"/>
      <c r="I147" s="23"/>
      <c r="J147" s="75"/>
      <c r="K147" s="75"/>
      <c r="L147" s="75"/>
      <c r="M147" s="75"/>
      <c r="N147" s="75"/>
      <c r="O147" s="75"/>
      <c r="P147" s="75"/>
      <c r="Q147" s="75"/>
      <c r="R147" s="75"/>
      <c r="S147" s="75"/>
      <c r="T147" s="100"/>
      <c r="U147" s="100"/>
      <c r="V147" s="101"/>
    </row>
    <row r="148">
      <c r="A148" s="104"/>
      <c r="B148" s="89"/>
      <c r="C148" s="86" t="s">
        <v>57</v>
      </c>
      <c r="D148" s="59">
        <v>1.0</v>
      </c>
      <c r="E148" s="87">
        <f t="shared" si="47"/>
        <v>1</v>
      </c>
      <c r="F148" s="42"/>
      <c r="G148" s="30">
        <v>6.0</v>
      </c>
      <c r="H148" s="75"/>
      <c r="I148" s="23"/>
      <c r="J148" s="75"/>
      <c r="K148" s="75"/>
      <c r="L148" s="75"/>
      <c r="M148" s="75"/>
      <c r="N148" s="75"/>
      <c r="O148" s="75"/>
      <c r="P148" s="75"/>
      <c r="Q148" s="75"/>
      <c r="R148" s="75"/>
      <c r="S148" s="75"/>
      <c r="T148" s="100"/>
      <c r="U148" s="100"/>
      <c r="V148" s="101"/>
    </row>
    <row r="149">
      <c r="A149" s="104"/>
      <c r="B149" s="89"/>
      <c r="C149" s="86" t="s">
        <v>59</v>
      </c>
      <c r="D149" s="59">
        <v>4.0</v>
      </c>
      <c r="E149" s="87">
        <f t="shared" si="47"/>
        <v>4</v>
      </c>
      <c r="F149" s="49"/>
      <c r="G149" s="50"/>
      <c r="H149" s="75"/>
      <c r="I149" s="23"/>
      <c r="J149" s="75"/>
      <c r="K149" s="75"/>
      <c r="L149" s="75"/>
      <c r="M149" s="75"/>
      <c r="N149" s="75"/>
      <c r="O149" s="75"/>
      <c r="P149" s="75"/>
      <c r="Q149" s="75"/>
      <c r="R149" s="75"/>
      <c r="S149" s="75"/>
      <c r="T149" s="100"/>
      <c r="U149" s="100"/>
      <c r="V149" s="101"/>
    </row>
    <row r="150">
      <c r="A150" s="104"/>
      <c r="B150" s="89"/>
      <c r="C150" s="86" t="s">
        <v>61</v>
      </c>
      <c r="D150" s="59">
        <v>1.0</v>
      </c>
      <c r="E150" s="87">
        <f t="shared" si="47"/>
        <v>1</v>
      </c>
      <c r="F150" s="42"/>
      <c r="G150" s="50"/>
      <c r="H150" s="75"/>
      <c r="I150" s="23"/>
      <c r="J150" s="75"/>
      <c r="K150" s="75"/>
      <c r="L150" s="75"/>
      <c r="M150" s="75"/>
      <c r="N150" s="75"/>
      <c r="O150" s="75"/>
      <c r="P150" s="75"/>
      <c r="Q150" s="75"/>
      <c r="R150" s="75"/>
      <c r="S150" s="75"/>
      <c r="T150" s="100"/>
      <c r="U150" s="100"/>
      <c r="V150" s="101"/>
    </row>
    <row r="151">
      <c r="A151" s="104"/>
      <c r="B151" s="90"/>
      <c r="C151" s="91" t="s">
        <v>62</v>
      </c>
      <c r="D151" s="60">
        <f>D141</f>
        <v>150</v>
      </c>
      <c r="E151" s="92">
        <f t="shared" si="47"/>
        <v>150</v>
      </c>
      <c r="F151" s="61"/>
      <c r="G151" s="55"/>
      <c r="H151" s="93"/>
      <c r="I151" s="56"/>
      <c r="J151" s="93"/>
      <c r="K151" s="93"/>
      <c r="L151" s="93"/>
      <c r="M151" s="93"/>
      <c r="N151" s="93"/>
      <c r="O151" s="93"/>
      <c r="P151" s="93"/>
      <c r="Q151" s="93"/>
      <c r="R151" s="93"/>
      <c r="S151" s="93"/>
      <c r="T151" s="102"/>
      <c r="U151" s="102"/>
      <c r="V151" s="103"/>
    </row>
  </sheetData>
  <dataValidations>
    <dataValidation type="list" allowBlank="1" showErrorMessage="1" sqref="N2 N12 N22 N32 N42 N52 N62 N72 N82 N92 N102 N112 N122 N132 N142">
      <formula1>"0,0.5,1"</formula1>
    </dataValidation>
    <dataValidation type="list" allowBlank="1" showErrorMessage="1" sqref="L3:M3 L13:M13 L23:M23 L33:M33 L43:M43 L53:M53 L63:M63 L73:M73 L83:M83 L93:M93 L103:M103 L113:M113 L123:M123 L133:M133 L143:M143">
      <formula1>"Rough,SemiRough,Bunker"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2.88"/>
    <col customWidth="1" min="4" max="4" width="4.0"/>
    <col customWidth="1" min="6" max="6" width="11.38"/>
    <col customWidth="1" min="7" max="7" width="3.13"/>
    <col customWidth="1" min="8" max="8" width="14.63"/>
    <col customWidth="1" min="9" max="9" width="6.63"/>
    <col customWidth="1" min="10" max="10" width="5.63"/>
    <col customWidth="1" min="11" max="11" width="14.13"/>
    <col customWidth="1" min="12" max="12" width="16.13"/>
    <col customWidth="1" min="14" max="14" width="9.0"/>
    <col customWidth="1" min="15" max="16" width="10.38"/>
    <col customWidth="1" min="17" max="17" width="4.5"/>
    <col customWidth="1" min="18" max="18" width="10.38"/>
    <col customWidth="1" min="19" max="19" width="4.5"/>
    <col customWidth="1" min="20" max="22" width="10.13"/>
    <col customWidth="1" min="24" max="24" width="14.5"/>
    <col customWidth="1" min="25" max="25" width="3.88"/>
  </cols>
  <sheetData>
    <row r="2">
      <c r="A2" s="112"/>
      <c r="B2" s="10"/>
      <c r="C2" s="11"/>
      <c r="D2" s="11"/>
      <c r="E2" s="11"/>
      <c r="F2" s="12"/>
      <c r="G2" s="13"/>
      <c r="H2" s="14" t="s">
        <v>27</v>
      </c>
      <c r="I2" s="14"/>
      <c r="J2" s="14"/>
      <c r="K2" s="14" t="s">
        <v>28</v>
      </c>
      <c r="L2" s="14">
        <f>RANDBETWEEN(0,3)</f>
        <v>0</v>
      </c>
      <c r="M2" s="14" t="s">
        <v>29</v>
      </c>
      <c r="N2" s="105">
        <v>1.0</v>
      </c>
      <c r="O2" s="68"/>
      <c r="P2" s="68"/>
      <c r="Q2" s="16"/>
      <c r="R2" s="16"/>
      <c r="S2" s="16"/>
      <c r="T2" s="17"/>
      <c r="U2" s="17"/>
      <c r="V2" s="18"/>
      <c r="X2" s="3" t="s">
        <v>30</v>
      </c>
      <c r="AA2" s="3" t="s">
        <v>31</v>
      </c>
    </row>
    <row r="3">
      <c r="A3" s="112"/>
      <c r="B3" s="19"/>
      <c r="C3" s="20"/>
      <c r="D3" s="20"/>
      <c r="E3" s="20"/>
      <c r="F3" s="21"/>
      <c r="G3" s="22"/>
      <c r="H3" s="23"/>
      <c r="I3" s="23"/>
      <c r="J3" s="23"/>
      <c r="K3" s="23"/>
      <c r="L3" s="24" t="s">
        <v>33</v>
      </c>
      <c r="M3" s="24" t="s">
        <v>33</v>
      </c>
      <c r="N3" s="75"/>
      <c r="O3" s="75"/>
      <c r="P3" s="75"/>
      <c r="Q3" s="25"/>
      <c r="R3" s="25"/>
      <c r="S3" s="25"/>
      <c r="T3" s="26"/>
      <c r="U3" s="27" t="s">
        <v>34</v>
      </c>
      <c r="V3" s="28"/>
      <c r="X3" s="3"/>
      <c r="AA3" s="3"/>
    </row>
    <row r="4">
      <c r="A4" s="112"/>
      <c r="B4" s="19"/>
      <c r="C4" s="20"/>
      <c r="D4" s="20"/>
      <c r="E4" s="20"/>
      <c r="F4" s="29" t="s">
        <v>31</v>
      </c>
      <c r="G4" s="30"/>
      <c r="H4" s="23"/>
      <c r="I4" s="23"/>
      <c r="J4" s="23"/>
      <c r="K4" s="23"/>
      <c r="L4" s="25">
        <f>VLOOKUP(L3,RECOVERY!$AA$8:$AP$10,2,FALSE)</f>
        <v>1.4</v>
      </c>
      <c r="M4" s="25">
        <f>VLOOKUP(M3,RECOVERY!$AA$27:$AP$29,2,FALSE)</f>
        <v>0.65</v>
      </c>
      <c r="N4" s="106">
        <v>-1.5</v>
      </c>
      <c r="O4" s="106">
        <v>0.0</v>
      </c>
      <c r="P4" s="106">
        <v>1.5</v>
      </c>
      <c r="Q4" s="25"/>
      <c r="R4" s="23" t="s">
        <v>35</v>
      </c>
      <c r="S4" s="25"/>
      <c r="T4" s="27">
        <v>0.1</v>
      </c>
      <c r="U4" s="27">
        <v>1.33</v>
      </c>
      <c r="V4" s="31">
        <v>-1.23</v>
      </c>
      <c r="X4" s="3"/>
      <c r="AA4" s="3"/>
    </row>
    <row r="5">
      <c r="A5" s="112"/>
      <c r="B5" s="32" t="s">
        <v>8</v>
      </c>
      <c r="C5" s="33"/>
      <c r="D5" s="21" t="s">
        <v>36</v>
      </c>
      <c r="E5" s="34" t="s">
        <v>37</v>
      </c>
      <c r="F5" s="29" t="str">
        <f>SUM(F6:F11)&amp;"/100"</f>
        <v>100/100</v>
      </c>
      <c r="G5" s="30" t="s">
        <v>38</v>
      </c>
      <c r="H5" s="36" t="s">
        <v>39</v>
      </c>
      <c r="I5" s="36" t="s">
        <v>40</v>
      </c>
      <c r="J5" s="36" t="s">
        <v>41</v>
      </c>
      <c r="K5" s="36" t="s">
        <v>42</v>
      </c>
      <c r="L5" s="36" t="s">
        <v>43</v>
      </c>
      <c r="M5" s="36" t="s">
        <v>44</v>
      </c>
      <c r="N5" s="107" t="s">
        <v>45</v>
      </c>
      <c r="O5" s="107" t="s">
        <v>46</v>
      </c>
      <c r="P5" s="107" t="s">
        <v>47</v>
      </c>
      <c r="Q5" s="30" t="s">
        <v>48</v>
      </c>
      <c r="R5" s="36" t="s">
        <v>49</v>
      </c>
      <c r="S5" s="30" t="s">
        <v>50</v>
      </c>
      <c r="T5" s="37" t="s">
        <v>51</v>
      </c>
      <c r="U5" s="37" t="s">
        <v>45</v>
      </c>
      <c r="V5" s="38" t="s">
        <v>47</v>
      </c>
      <c r="X5" s="3" t="s">
        <v>8</v>
      </c>
      <c r="Y5" s="3" t="s">
        <v>36</v>
      </c>
      <c r="Z5" s="3" t="s">
        <v>37</v>
      </c>
      <c r="AA5" s="3" t="str">
        <f>SUM(AA6:AA9)&amp;"/55"</f>
        <v>0/55</v>
      </c>
      <c r="AB5" s="3" t="s">
        <v>38</v>
      </c>
    </row>
    <row r="6">
      <c r="A6" s="112"/>
      <c r="B6" s="39" t="s">
        <v>12</v>
      </c>
      <c r="C6" s="40" t="s">
        <v>52</v>
      </c>
      <c r="D6" s="21">
        <v>180.0</v>
      </c>
      <c r="E6" s="41">
        <f t="shared" ref="E6:E11" si="3">D6+F6</f>
        <v>180</v>
      </c>
      <c r="F6" s="42"/>
      <c r="G6" s="30">
        <v>40.0</v>
      </c>
      <c r="H6" s="44">
        <f>$G$6+(E6/2)+$AB$6+(Z6/2)+$L$2</f>
        <v>175</v>
      </c>
      <c r="I6" s="30">
        <f>1-(E7/1000)</f>
        <v>0.75</v>
      </c>
      <c r="J6" s="30">
        <f>ROUND(POWER(E6/100,0.5),3)</f>
        <v>1.342</v>
      </c>
      <c r="K6" s="44">
        <f>(G8*J6*I6*N2)</f>
        <v>14.091</v>
      </c>
      <c r="L6" s="44">
        <f>1+(L4-1)*(1-E10/500)</f>
        <v>1.3024</v>
      </c>
      <c r="M6" s="44">
        <f>M4+((1-M4)*0.5*E10/400)</f>
        <v>0.703375</v>
      </c>
      <c r="N6" s="62">
        <f>(E9+(Q6*N4))/1.3</f>
        <v>24.67307692</v>
      </c>
      <c r="O6" s="62">
        <f t="shared" ref="O6:P6" si="1">(D9+(P6*O4))/1.3</f>
        <v>26.92307692</v>
      </c>
      <c r="P6" s="62">
        <f t="shared" si="1"/>
        <v>29.17307692</v>
      </c>
      <c r="Q6" s="30">
        <f>3*(E8/100)</f>
        <v>1.95</v>
      </c>
      <c r="R6" s="44">
        <f>E8*1*(VLOOKUP(B6,SPIN!$M$27:$N$40,2,FALSE))</f>
        <v>2600</v>
      </c>
      <c r="S6" s="30">
        <f>E8*2*3.14/60</f>
        <v>6.803333333</v>
      </c>
      <c r="T6" s="45">
        <f t="shared" ref="T6:V6" si="2">$S6*T4*8</f>
        <v>5.442666667</v>
      </c>
      <c r="U6" s="45">
        <f t="shared" si="2"/>
        <v>72.38746667</v>
      </c>
      <c r="V6" s="46">
        <f t="shared" si="2"/>
        <v>-66.9448</v>
      </c>
      <c r="X6" s="3" t="s">
        <v>53</v>
      </c>
      <c r="Y6" s="3">
        <v>30.0</v>
      </c>
      <c r="Z6" s="4">
        <f t="shared" ref="Z6:Z9" si="4">Y6+AA6</f>
        <v>30</v>
      </c>
      <c r="AB6" s="3">
        <v>30.0</v>
      </c>
    </row>
    <row r="7">
      <c r="A7" s="112"/>
      <c r="B7" s="47"/>
      <c r="C7" s="40" t="s">
        <v>54</v>
      </c>
      <c r="D7" s="21">
        <v>250.0</v>
      </c>
      <c r="E7" s="41">
        <f t="shared" si="3"/>
        <v>250</v>
      </c>
      <c r="F7" s="42"/>
      <c r="G7" s="30" t="s">
        <v>55</v>
      </c>
      <c r="H7" s="23" t="s">
        <v>27</v>
      </c>
      <c r="I7" s="23"/>
      <c r="J7" s="23"/>
      <c r="K7" s="23"/>
      <c r="L7" s="23"/>
      <c r="M7" s="23"/>
      <c r="N7" s="108"/>
      <c r="O7" s="108"/>
      <c r="P7" s="108"/>
      <c r="Q7" s="23"/>
      <c r="R7" s="23"/>
      <c r="S7" s="23"/>
      <c r="T7" s="27"/>
      <c r="U7" s="27"/>
      <c r="V7" s="31"/>
      <c r="X7" s="3" t="s">
        <v>56</v>
      </c>
      <c r="Y7" s="3">
        <v>50.0</v>
      </c>
      <c r="Z7" s="4">
        <f t="shared" si="4"/>
        <v>50</v>
      </c>
    </row>
    <row r="8">
      <c r="A8" s="112"/>
      <c r="B8" s="47"/>
      <c r="C8" s="40" t="s">
        <v>57</v>
      </c>
      <c r="D8" s="21">
        <v>65.0</v>
      </c>
      <c r="E8" s="41">
        <f t="shared" si="3"/>
        <v>65</v>
      </c>
      <c r="F8" s="42"/>
      <c r="G8" s="30">
        <v>14.0</v>
      </c>
      <c r="H8" s="23"/>
      <c r="I8" s="23"/>
      <c r="J8" s="23"/>
      <c r="K8" s="23"/>
      <c r="L8" s="23"/>
      <c r="M8" s="23"/>
      <c r="N8" s="108"/>
      <c r="O8" s="108"/>
      <c r="P8" s="108"/>
      <c r="Q8" s="23"/>
      <c r="R8" s="23"/>
      <c r="S8" s="23"/>
      <c r="T8" s="27"/>
      <c r="U8" s="27"/>
      <c r="V8" s="31"/>
      <c r="X8" s="3" t="s">
        <v>58</v>
      </c>
      <c r="Y8" s="3">
        <v>150.0</v>
      </c>
      <c r="Z8" s="4">
        <f t="shared" si="4"/>
        <v>150</v>
      </c>
    </row>
    <row r="9">
      <c r="A9" s="112"/>
      <c r="B9" s="47"/>
      <c r="C9" s="40" t="s">
        <v>59</v>
      </c>
      <c r="D9" s="48">
        <f>'DEFAULT CLUBS-COMMON'!D9</f>
        <v>35</v>
      </c>
      <c r="E9" s="41">
        <f t="shared" si="3"/>
        <v>35</v>
      </c>
      <c r="F9" s="49"/>
      <c r="G9" s="50"/>
      <c r="H9" s="23"/>
      <c r="I9" s="23"/>
      <c r="J9" s="23"/>
      <c r="K9" s="23"/>
      <c r="L9" s="23"/>
      <c r="M9" s="23"/>
      <c r="N9" s="108"/>
      <c r="O9" s="108"/>
      <c r="P9" s="108"/>
      <c r="Q9" s="23"/>
      <c r="R9" s="23"/>
      <c r="S9" s="23"/>
      <c r="T9" s="27"/>
      <c r="U9" s="27"/>
      <c r="V9" s="31"/>
      <c r="X9" s="3" t="s">
        <v>60</v>
      </c>
      <c r="Y9" s="3">
        <v>5.0</v>
      </c>
      <c r="Z9" s="4">
        <f t="shared" si="4"/>
        <v>5</v>
      </c>
    </row>
    <row r="10">
      <c r="A10" s="112"/>
      <c r="B10" s="47"/>
      <c r="C10" s="40" t="s">
        <v>61</v>
      </c>
      <c r="D10" s="59">
        <f>D20-6</f>
        <v>22</v>
      </c>
      <c r="E10" s="41">
        <f t="shared" si="3"/>
        <v>122</v>
      </c>
      <c r="F10" s="42">
        <v>100.0</v>
      </c>
      <c r="G10" s="50"/>
      <c r="H10" s="23"/>
      <c r="I10" s="23"/>
      <c r="J10" s="23"/>
      <c r="K10" s="23"/>
      <c r="L10" s="23"/>
      <c r="M10" s="23"/>
      <c r="N10" s="108"/>
      <c r="O10" s="108"/>
      <c r="P10" s="108"/>
      <c r="Q10" s="23"/>
      <c r="R10" s="23"/>
      <c r="S10" s="23"/>
      <c r="T10" s="27"/>
      <c r="U10" s="27"/>
      <c r="V10" s="31"/>
    </row>
    <row r="11">
      <c r="A11" s="112"/>
      <c r="B11" s="51"/>
      <c r="C11" s="52" t="s">
        <v>62</v>
      </c>
      <c r="D11" s="53">
        <v>200.0</v>
      </c>
      <c r="E11" s="54">
        <f t="shared" si="3"/>
        <v>200</v>
      </c>
      <c r="F11" s="61"/>
      <c r="G11" s="55"/>
      <c r="H11" s="56"/>
      <c r="I11" s="56"/>
      <c r="J11" s="56"/>
      <c r="K11" s="56"/>
      <c r="L11" s="56"/>
      <c r="M11" s="56"/>
      <c r="N11" s="110"/>
      <c r="O11" s="110"/>
      <c r="P11" s="110"/>
      <c r="Q11" s="56"/>
      <c r="R11" s="56"/>
      <c r="S11" s="56"/>
      <c r="T11" s="57"/>
      <c r="U11" s="57"/>
      <c r="V11" s="58"/>
    </row>
    <row r="12">
      <c r="A12" s="112"/>
      <c r="B12" s="10"/>
      <c r="C12" s="11"/>
      <c r="D12" s="11"/>
      <c r="E12" s="11"/>
      <c r="F12" s="12"/>
      <c r="G12" s="13"/>
      <c r="H12" s="14" t="s">
        <v>27</v>
      </c>
      <c r="I12" s="14"/>
      <c r="J12" s="14"/>
      <c r="K12" s="14" t="s">
        <v>28</v>
      </c>
      <c r="L12" s="16">
        <f>RANDBETWEEN(0,3)</f>
        <v>2</v>
      </c>
      <c r="M12" s="14" t="s">
        <v>29</v>
      </c>
      <c r="N12" s="105">
        <v>1.0</v>
      </c>
      <c r="O12" s="68"/>
      <c r="P12" s="68"/>
      <c r="Q12" s="16"/>
      <c r="R12" s="16"/>
      <c r="S12" s="16"/>
      <c r="T12" s="17"/>
      <c r="U12" s="17"/>
      <c r="V12" s="18"/>
    </row>
    <row r="13">
      <c r="A13" s="112"/>
      <c r="B13" s="19"/>
      <c r="C13" s="20"/>
      <c r="D13" s="20"/>
      <c r="E13" s="20"/>
      <c r="F13" s="21"/>
      <c r="G13" s="22"/>
      <c r="H13" s="23"/>
      <c r="I13" s="23"/>
      <c r="J13" s="23"/>
      <c r="K13" s="23"/>
      <c r="L13" s="24" t="s">
        <v>33</v>
      </c>
      <c r="M13" s="24" t="s">
        <v>33</v>
      </c>
      <c r="N13" s="75"/>
      <c r="O13" s="75"/>
      <c r="P13" s="75"/>
      <c r="Q13" s="25"/>
      <c r="R13" s="25"/>
      <c r="S13" s="25"/>
      <c r="T13" s="26"/>
      <c r="U13" s="27" t="s">
        <v>34</v>
      </c>
      <c r="V13" s="28"/>
    </row>
    <row r="14">
      <c r="A14" s="112"/>
      <c r="B14" s="19"/>
      <c r="C14" s="20"/>
      <c r="D14" s="20"/>
      <c r="E14" s="20"/>
      <c r="F14" s="29" t="s">
        <v>31</v>
      </c>
      <c r="G14" s="30"/>
      <c r="H14" s="23"/>
      <c r="I14" s="23"/>
      <c r="J14" s="23"/>
      <c r="K14" s="23"/>
      <c r="L14" s="25">
        <f>VLOOKUP(L13,RECOVERY!$AA$8:$AP$10,3,FALSE)</f>
        <v>1.4</v>
      </c>
      <c r="M14" s="25">
        <f>VLOOKUP(M13,RECOVERY!$AA$27:$AP$29,3,FALSE)</f>
        <v>0.65</v>
      </c>
      <c r="N14" s="106">
        <v>-1.5</v>
      </c>
      <c r="O14" s="106">
        <v>0.0</v>
      </c>
      <c r="P14" s="106">
        <v>1.5</v>
      </c>
      <c r="Q14" s="25"/>
      <c r="R14" s="23" t="s">
        <v>35</v>
      </c>
      <c r="S14" s="25"/>
      <c r="T14" s="27">
        <v>0.1</v>
      </c>
      <c r="U14" s="27">
        <v>1.33</v>
      </c>
      <c r="V14" s="31">
        <v>-1.23</v>
      </c>
    </row>
    <row r="15">
      <c r="A15" s="112"/>
      <c r="B15" s="32" t="s">
        <v>8</v>
      </c>
      <c r="C15" s="33"/>
      <c r="D15" s="21" t="s">
        <v>36</v>
      </c>
      <c r="E15" s="34" t="s">
        <v>37</v>
      </c>
      <c r="F15" s="29" t="str">
        <f>F5</f>
        <v>100/100</v>
      </c>
      <c r="G15" s="30" t="s">
        <v>38</v>
      </c>
      <c r="H15" s="36" t="s">
        <v>39</v>
      </c>
      <c r="I15" s="36" t="s">
        <v>40</v>
      </c>
      <c r="J15" s="36" t="s">
        <v>41</v>
      </c>
      <c r="K15" s="36" t="s">
        <v>42</v>
      </c>
      <c r="L15" s="36" t="s">
        <v>43</v>
      </c>
      <c r="M15" s="36" t="s">
        <v>44</v>
      </c>
      <c r="N15" s="107" t="s">
        <v>45</v>
      </c>
      <c r="O15" s="107" t="s">
        <v>46</v>
      </c>
      <c r="P15" s="107" t="s">
        <v>47</v>
      </c>
      <c r="Q15" s="30" t="s">
        <v>48</v>
      </c>
      <c r="R15" s="36" t="s">
        <v>49</v>
      </c>
      <c r="S15" s="30" t="s">
        <v>50</v>
      </c>
      <c r="T15" s="37" t="s">
        <v>51</v>
      </c>
      <c r="U15" s="37" t="s">
        <v>45</v>
      </c>
      <c r="V15" s="38" t="s">
        <v>47</v>
      </c>
    </row>
    <row r="16">
      <c r="A16" s="112"/>
      <c r="B16" s="39" t="s">
        <v>13</v>
      </c>
      <c r="C16" s="40" t="s">
        <v>52</v>
      </c>
      <c r="D16" s="21">
        <f>D6-10</f>
        <v>170</v>
      </c>
      <c r="E16" s="41">
        <f t="shared" ref="E16:E21" si="7">D16+F16</f>
        <v>170</v>
      </c>
      <c r="F16" s="42"/>
      <c r="G16" s="30">
        <f>G6</f>
        <v>40</v>
      </c>
      <c r="H16" s="44">
        <f>$G$6+(E16/2)+$AB$6+(Z16/2)+$L$2</f>
        <v>155</v>
      </c>
      <c r="I16" s="30">
        <f>1-(E17/1000)</f>
        <v>0.75</v>
      </c>
      <c r="J16" s="30">
        <f>ROUND(POWER(E16/100,0.5),3)</f>
        <v>1.304</v>
      </c>
      <c r="K16" s="44">
        <f>(G18*J16*I16*N12)</f>
        <v>13.692</v>
      </c>
      <c r="L16" s="44">
        <f>1+(L14-1)*(1-E20/500)</f>
        <v>1.3776</v>
      </c>
      <c r="M16" s="44">
        <f>M14+((1-M14)*0.5*E20/400)</f>
        <v>0.66225</v>
      </c>
      <c r="N16" s="62">
        <f>(E19+(Q16*N14))/1.3</f>
        <v>24.15384615</v>
      </c>
      <c r="O16" s="62">
        <f t="shared" ref="O16:P16" si="5">(D19+(P16*O14))/1.3</f>
        <v>26.92307692</v>
      </c>
      <c r="P16" s="62">
        <f t="shared" si="5"/>
        <v>29.69230769</v>
      </c>
      <c r="Q16" s="30">
        <f>3*(E18/100)</f>
        <v>2.4</v>
      </c>
      <c r="R16" s="44">
        <f>E18*1*(VLOOKUP(B16,SPIN!$M$27:$N$40,2,FALSE))</f>
        <v>4000</v>
      </c>
      <c r="S16" s="30">
        <f>E18*2*3.14/60</f>
        <v>8.373333333</v>
      </c>
      <c r="T16" s="45">
        <f t="shared" ref="T16:V16" si="6">$S16*T14*8</f>
        <v>6.698666667</v>
      </c>
      <c r="U16" s="45">
        <f t="shared" si="6"/>
        <v>89.09226667</v>
      </c>
      <c r="V16" s="46">
        <f t="shared" si="6"/>
        <v>-82.3936</v>
      </c>
    </row>
    <row r="17">
      <c r="A17" s="112"/>
      <c r="B17" s="47"/>
      <c r="C17" s="40" t="s">
        <v>54</v>
      </c>
      <c r="D17" s="21">
        <f>D7</f>
        <v>250</v>
      </c>
      <c r="E17" s="41">
        <f t="shared" si="7"/>
        <v>250</v>
      </c>
      <c r="F17" s="42"/>
      <c r="G17" s="30" t="s">
        <v>55</v>
      </c>
      <c r="H17" s="23"/>
      <c r="I17" s="23"/>
      <c r="J17" s="23"/>
      <c r="K17" s="23"/>
      <c r="L17" s="23"/>
      <c r="M17" s="23"/>
      <c r="N17" s="108"/>
      <c r="O17" s="108"/>
      <c r="P17" s="108"/>
      <c r="Q17" s="23"/>
      <c r="R17" s="23"/>
      <c r="S17" s="23"/>
      <c r="T17" s="27"/>
      <c r="U17" s="27"/>
      <c r="V17" s="31"/>
    </row>
    <row r="18">
      <c r="A18" s="112"/>
      <c r="B18" s="47"/>
      <c r="C18" s="40" t="s">
        <v>57</v>
      </c>
      <c r="D18" s="21">
        <v>80.0</v>
      </c>
      <c r="E18" s="41">
        <f t="shared" si="7"/>
        <v>80</v>
      </c>
      <c r="F18" s="42"/>
      <c r="G18" s="30">
        <f>G8</f>
        <v>14</v>
      </c>
      <c r="H18" s="23"/>
      <c r="I18" s="23"/>
      <c r="J18" s="23"/>
      <c r="K18" s="23"/>
      <c r="L18" s="23"/>
      <c r="M18" s="23"/>
      <c r="N18" s="108"/>
      <c r="O18" s="108"/>
      <c r="P18" s="108"/>
      <c r="Q18" s="23"/>
      <c r="R18" s="23"/>
      <c r="S18" s="23"/>
      <c r="T18" s="27"/>
      <c r="U18" s="27"/>
      <c r="V18" s="31"/>
    </row>
    <row r="19">
      <c r="A19" s="112"/>
      <c r="B19" s="47"/>
      <c r="C19" s="40" t="s">
        <v>59</v>
      </c>
      <c r="D19" s="48">
        <f>'DEFAULT CLUBS-COMMON'!D19</f>
        <v>35</v>
      </c>
      <c r="E19" s="41">
        <f t="shared" si="7"/>
        <v>35</v>
      </c>
      <c r="F19" s="49"/>
      <c r="G19" s="50"/>
      <c r="H19" s="23"/>
      <c r="I19" s="23"/>
      <c r="J19" s="23"/>
      <c r="K19" s="23"/>
      <c r="L19" s="23"/>
      <c r="M19" s="23"/>
      <c r="N19" s="108"/>
      <c r="O19" s="108"/>
      <c r="P19" s="108"/>
      <c r="Q19" s="23"/>
      <c r="R19" s="23"/>
      <c r="S19" s="23"/>
      <c r="T19" s="27"/>
      <c r="U19" s="27"/>
      <c r="V19" s="31"/>
    </row>
    <row r="20">
      <c r="A20" s="112"/>
      <c r="B20" s="47"/>
      <c r="C20" s="40" t="s">
        <v>61</v>
      </c>
      <c r="D20" s="59">
        <f>D30</f>
        <v>28</v>
      </c>
      <c r="E20" s="41">
        <f t="shared" si="7"/>
        <v>28</v>
      </c>
      <c r="F20" s="42"/>
      <c r="G20" s="50"/>
      <c r="H20" s="23"/>
      <c r="I20" s="23"/>
      <c r="J20" s="23"/>
      <c r="K20" s="23"/>
      <c r="L20" s="23"/>
      <c r="M20" s="23"/>
      <c r="N20" s="108"/>
      <c r="O20" s="108"/>
      <c r="P20" s="108"/>
      <c r="Q20" s="23"/>
      <c r="R20" s="23"/>
      <c r="S20" s="23"/>
      <c r="T20" s="27"/>
      <c r="U20" s="27"/>
      <c r="V20" s="31"/>
    </row>
    <row r="21">
      <c r="A21" s="112"/>
      <c r="B21" s="51"/>
      <c r="C21" s="52" t="s">
        <v>62</v>
      </c>
      <c r="D21" s="60">
        <f>D11</f>
        <v>200</v>
      </c>
      <c r="E21" s="54">
        <f t="shared" si="7"/>
        <v>200</v>
      </c>
      <c r="F21" s="61"/>
      <c r="G21" s="55"/>
      <c r="H21" s="56"/>
      <c r="I21" s="56"/>
      <c r="J21" s="56"/>
      <c r="K21" s="56"/>
      <c r="L21" s="56"/>
      <c r="M21" s="56"/>
      <c r="N21" s="110"/>
      <c r="O21" s="110"/>
      <c r="P21" s="110"/>
      <c r="Q21" s="56"/>
      <c r="R21" s="56"/>
      <c r="S21" s="56"/>
      <c r="T21" s="57"/>
      <c r="U21" s="57"/>
      <c r="V21" s="58"/>
    </row>
    <row r="22">
      <c r="A22" s="112"/>
      <c r="B22" s="10"/>
      <c r="C22" s="11"/>
      <c r="D22" s="11"/>
      <c r="E22" s="11"/>
      <c r="F22" s="12"/>
      <c r="G22" s="13"/>
      <c r="H22" s="14" t="s">
        <v>27</v>
      </c>
      <c r="I22" s="14"/>
      <c r="J22" s="14"/>
      <c r="K22" s="14" t="s">
        <v>28</v>
      </c>
      <c r="L22" s="16">
        <f>RANDBETWEEN(0,3)</f>
        <v>0</v>
      </c>
      <c r="M22" s="14" t="s">
        <v>29</v>
      </c>
      <c r="N22" s="105">
        <v>1.0</v>
      </c>
      <c r="O22" s="68"/>
      <c r="P22" s="68"/>
      <c r="Q22" s="16"/>
      <c r="R22" s="16"/>
      <c r="S22" s="16"/>
      <c r="T22" s="17"/>
      <c r="U22" s="17"/>
      <c r="V22" s="18"/>
    </row>
    <row r="23">
      <c r="A23" s="112"/>
      <c r="B23" s="19"/>
      <c r="C23" s="20"/>
      <c r="D23" s="20"/>
      <c r="E23" s="20"/>
      <c r="F23" s="21"/>
      <c r="G23" s="22"/>
      <c r="H23" s="23"/>
      <c r="I23" s="23"/>
      <c r="J23" s="23"/>
      <c r="K23" s="23"/>
      <c r="L23" s="24" t="s">
        <v>33</v>
      </c>
      <c r="M23" s="24" t="s">
        <v>33</v>
      </c>
      <c r="N23" s="75"/>
      <c r="O23" s="75"/>
      <c r="P23" s="75"/>
      <c r="Q23" s="25"/>
      <c r="R23" s="25"/>
      <c r="S23" s="25"/>
      <c r="T23" s="26"/>
      <c r="U23" s="27" t="s">
        <v>34</v>
      </c>
      <c r="V23" s="28"/>
    </row>
    <row r="24">
      <c r="A24" s="112"/>
      <c r="B24" s="19"/>
      <c r="C24" s="20"/>
      <c r="D24" s="20"/>
      <c r="E24" s="20"/>
      <c r="F24" s="29" t="s">
        <v>31</v>
      </c>
      <c r="G24" s="30"/>
      <c r="H24" s="23"/>
      <c r="I24" s="23"/>
      <c r="J24" s="23"/>
      <c r="K24" s="23"/>
      <c r="L24" s="25">
        <f>VLOOKUP(L23,RECOVERY!$AA$8:$AP$10,4,FALSE)</f>
        <v>1.4</v>
      </c>
      <c r="M24" s="25">
        <f>VLOOKUP(M23,RECOVERY!$AA$27:$AP$29,4,FALSE)</f>
        <v>0.65</v>
      </c>
      <c r="N24" s="106">
        <v>-1.5</v>
      </c>
      <c r="O24" s="106">
        <v>0.0</v>
      </c>
      <c r="P24" s="106">
        <v>1.5</v>
      </c>
      <c r="Q24" s="25"/>
      <c r="R24" s="23" t="s">
        <v>35</v>
      </c>
      <c r="S24" s="25"/>
      <c r="T24" s="27">
        <v>0.1</v>
      </c>
      <c r="U24" s="27">
        <v>1.33</v>
      </c>
      <c r="V24" s="31">
        <v>-1.23</v>
      </c>
    </row>
    <row r="25">
      <c r="A25" s="112"/>
      <c r="B25" s="32" t="s">
        <v>8</v>
      </c>
      <c r="C25" s="33"/>
      <c r="D25" s="21" t="s">
        <v>36</v>
      </c>
      <c r="E25" s="34" t="s">
        <v>37</v>
      </c>
      <c r="F25" s="29" t="str">
        <f>F15</f>
        <v>100/100</v>
      </c>
      <c r="G25" s="30" t="s">
        <v>38</v>
      </c>
      <c r="H25" s="36" t="s">
        <v>39</v>
      </c>
      <c r="I25" s="36" t="s">
        <v>40</v>
      </c>
      <c r="J25" s="36" t="s">
        <v>41</v>
      </c>
      <c r="K25" s="36" t="s">
        <v>42</v>
      </c>
      <c r="L25" s="36" t="s">
        <v>43</v>
      </c>
      <c r="M25" s="36" t="s">
        <v>44</v>
      </c>
      <c r="N25" s="107" t="s">
        <v>45</v>
      </c>
      <c r="O25" s="107" t="s">
        <v>46</v>
      </c>
      <c r="P25" s="107" t="s">
        <v>47</v>
      </c>
      <c r="Q25" s="30" t="s">
        <v>48</v>
      </c>
      <c r="R25" s="36" t="s">
        <v>49</v>
      </c>
      <c r="S25" s="30" t="s">
        <v>50</v>
      </c>
      <c r="T25" s="37" t="s">
        <v>51</v>
      </c>
      <c r="U25" s="37" t="s">
        <v>45</v>
      </c>
      <c r="V25" s="38" t="s">
        <v>47</v>
      </c>
    </row>
    <row r="26">
      <c r="A26" s="112"/>
      <c r="B26" s="39" t="s">
        <v>14</v>
      </c>
      <c r="C26" s="40" t="s">
        <v>52</v>
      </c>
      <c r="D26" s="21">
        <f>D16-10</f>
        <v>160</v>
      </c>
      <c r="E26" s="41">
        <f t="shared" ref="E26:E31" si="10">D26+F26</f>
        <v>160</v>
      </c>
      <c r="F26" s="42"/>
      <c r="G26" s="30">
        <f>G16</f>
        <v>40</v>
      </c>
      <c r="H26" s="62">
        <f>$G$6+(E26/2)+$AB$6+(Z26/2)+$L$2</f>
        <v>150</v>
      </c>
      <c r="I26" s="30">
        <f>1-(E27/1000)</f>
        <v>0.745</v>
      </c>
      <c r="J26" s="63">
        <f>ROUND(POWER(E26/100,0.5),3)</f>
        <v>1.265</v>
      </c>
      <c r="K26" s="62">
        <f>(G28*J26*I26*N22)</f>
        <v>13.19395</v>
      </c>
      <c r="L26" s="62">
        <f>1+(L24-1)*(1-E30/500)</f>
        <v>1.3776</v>
      </c>
      <c r="M26" s="44">
        <f>M24+((1-M24)*0.5*E30/400)</f>
        <v>0.66225</v>
      </c>
      <c r="N26" s="62">
        <f>(E29+(Q26*N24))/1.3</f>
        <v>24.15384615</v>
      </c>
      <c r="O26" s="62">
        <f t="shared" ref="O26:P26" si="8">(D29+(P26*O24))/1.3</f>
        <v>26.92307692</v>
      </c>
      <c r="P26" s="62">
        <f t="shared" si="8"/>
        <v>29.69230769</v>
      </c>
      <c r="Q26" s="63">
        <f>3*(E28/100)</f>
        <v>2.4</v>
      </c>
      <c r="R26" s="62">
        <f>E28*1*(VLOOKUP(B26,SPIN!$M$27:$N$40,2,FALSE))</f>
        <v>4000</v>
      </c>
      <c r="S26" s="30">
        <f>E28*2*3.14/60</f>
        <v>8.373333333</v>
      </c>
      <c r="T26" s="45">
        <f t="shared" ref="T26:V26" si="9">$S26*T24*8</f>
        <v>6.698666667</v>
      </c>
      <c r="U26" s="45">
        <f t="shared" si="9"/>
        <v>89.09226667</v>
      </c>
      <c r="V26" s="46">
        <f t="shared" si="9"/>
        <v>-82.3936</v>
      </c>
    </row>
    <row r="27">
      <c r="A27" s="112"/>
      <c r="B27" s="47"/>
      <c r="C27" s="40" t="s">
        <v>54</v>
      </c>
      <c r="D27" s="21">
        <f>D17+5</f>
        <v>255</v>
      </c>
      <c r="E27" s="41">
        <f t="shared" si="10"/>
        <v>255</v>
      </c>
      <c r="F27" s="42"/>
      <c r="G27" s="30" t="s">
        <v>55</v>
      </c>
      <c r="H27" s="23"/>
      <c r="I27" s="23"/>
      <c r="J27" s="23"/>
      <c r="K27" s="23"/>
      <c r="L27" s="23"/>
      <c r="M27" s="23"/>
      <c r="N27" s="108"/>
      <c r="O27" s="108"/>
      <c r="P27" s="108"/>
      <c r="Q27" s="23"/>
      <c r="R27" s="23"/>
      <c r="S27" s="23"/>
      <c r="T27" s="27"/>
      <c r="U27" s="27"/>
      <c r="V27" s="31"/>
    </row>
    <row r="28">
      <c r="A28" s="112"/>
      <c r="B28" s="47"/>
      <c r="C28" s="40" t="s">
        <v>57</v>
      </c>
      <c r="D28" s="21">
        <v>80.0</v>
      </c>
      <c r="E28" s="41">
        <f t="shared" si="10"/>
        <v>80</v>
      </c>
      <c r="F28" s="42"/>
      <c r="G28" s="30">
        <f>G18</f>
        <v>14</v>
      </c>
      <c r="H28" s="23"/>
      <c r="I28" s="23"/>
      <c r="J28" s="23"/>
      <c r="K28" s="23"/>
      <c r="L28" s="23"/>
      <c r="M28" s="23"/>
      <c r="N28" s="108"/>
      <c r="O28" s="108"/>
      <c r="P28" s="108"/>
      <c r="Q28" s="23"/>
      <c r="R28" s="23"/>
      <c r="S28" s="23"/>
      <c r="T28" s="27"/>
      <c r="U28" s="27"/>
      <c r="V28" s="31"/>
    </row>
    <row r="29">
      <c r="A29" s="112"/>
      <c r="B29" s="47"/>
      <c r="C29" s="40" t="s">
        <v>59</v>
      </c>
      <c r="D29" s="48">
        <f>'DEFAULT CLUBS-COMMON'!D29</f>
        <v>35</v>
      </c>
      <c r="E29" s="41">
        <f t="shared" si="10"/>
        <v>35</v>
      </c>
      <c r="F29" s="49"/>
      <c r="G29" s="50"/>
      <c r="H29" s="23"/>
      <c r="I29" s="23"/>
      <c r="J29" s="23"/>
      <c r="K29" s="23"/>
      <c r="L29" s="23"/>
      <c r="M29" s="23"/>
      <c r="N29" s="108"/>
      <c r="O29" s="108"/>
      <c r="P29" s="108"/>
      <c r="Q29" s="23"/>
      <c r="R29" s="23"/>
      <c r="S29" s="23"/>
      <c r="T29" s="27"/>
      <c r="U29" s="27"/>
      <c r="V29" s="31"/>
    </row>
    <row r="30">
      <c r="A30" s="112"/>
      <c r="B30" s="47"/>
      <c r="C30" s="40" t="s">
        <v>61</v>
      </c>
      <c r="D30" s="59">
        <f>D40</f>
        <v>28</v>
      </c>
      <c r="E30" s="41">
        <f t="shared" si="10"/>
        <v>28</v>
      </c>
      <c r="F30" s="42"/>
      <c r="G30" s="50"/>
      <c r="H30" s="23"/>
      <c r="I30" s="23"/>
      <c r="J30" s="23"/>
      <c r="K30" s="23"/>
      <c r="L30" s="23"/>
      <c r="M30" s="23"/>
      <c r="N30" s="108"/>
      <c r="O30" s="108"/>
      <c r="P30" s="108"/>
      <c r="Q30" s="23"/>
      <c r="R30" s="23"/>
      <c r="S30" s="23"/>
      <c r="T30" s="27"/>
      <c r="U30" s="27"/>
      <c r="V30" s="31"/>
    </row>
    <row r="31">
      <c r="A31" s="112"/>
      <c r="B31" s="51"/>
      <c r="C31" s="52" t="s">
        <v>62</v>
      </c>
      <c r="D31" s="60">
        <f>D21</f>
        <v>200</v>
      </c>
      <c r="E31" s="54">
        <f t="shared" si="10"/>
        <v>200</v>
      </c>
      <c r="F31" s="61"/>
      <c r="G31" s="55"/>
      <c r="H31" s="56"/>
      <c r="I31" s="56"/>
      <c r="J31" s="56"/>
      <c r="K31" s="56"/>
      <c r="L31" s="56"/>
      <c r="M31" s="56"/>
      <c r="N31" s="110"/>
      <c r="O31" s="110"/>
      <c r="P31" s="110"/>
      <c r="Q31" s="56"/>
      <c r="R31" s="56"/>
      <c r="S31" s="56"/>
      <c r="T31" s="57"/>
      <c r="U31" s="57"/>
      <c r="V31" s="58"/>
    </row>
    <row r="32">
      <c r="A32" s="112"/>
      <c r="B32" s="64"/>
      <c r="C32" s="65"/>
      <c r="D32" s="66"/>
      <c r="E32" s="66"/>
      <c r="F32" s="12"/>
      <c r="G32" s="13"/>
      <c r="H32" s="68" t="s">
        <v>27</v>
      </c>
      <c r="I32" s="14"/>
      <c r="J32" s="68"/>
      <c r="K32" s="68" t="s">
        <v>28</v>
      </c>
      <c r="L32" s="69">
        <f>RANDBETWEEN(0,3)</f>
        <v>0</v>
      </c>
      <c r="M32" s="68" t="s">
        <v>29</v>
      </c>
      <c r="N32" s="70">
        <v>1.0</v>
      </c>
      <c r="O32" s="68"/>
      <c r="P32" s="68"/>
      <c r="Q32" s="68"/>
      <c r="R32" s="68"/>
      <c r="S32" s="16"/>
      <c r="T32" s="17"/>
      <c r="U32" s="17"/>
      <c r="V32" s="18"/>
    </row>
    <row r="33">
      <c r="A33" s="112"/>
      <c r="B33" s="71"/>
      <c r="C33" s="72"/>
      <c r="D33" s="73"/>
      <c r="E33" s="73"/>
      <c r="F33" s="21"/>
      <c r="G33" s="22"/>
      <c r="H33" s="75"/>
      <c r="I33" s="23"/>
      <c r="J33" s="75"/>
      <c r="K33" s="75"/>
      <c r="L33" s="76" t="s">
        <v>33</v>
      </c>
      <c r="M33" s="76" t="s">
        <v>33</v>
      </c>
      <c r="N33" s="75"/>
      <c r="O33" s="75"/>
      <c r="P33" s="75"/>
      <c r="Q33" s="75"/>
      <c r="R33" s="75"/>
      <c r="S33" s="25"/>
      <c r="T33" s="26"/>
      <c r="U33" s="27" t="s">
        <v>34</v>
      </c>
      <c r="V33" s="28"/>
    </row>
    <row r="34">
      <c r="A34" s="112"/>
      <c r="B34" s="71"/>
      <c r="C34" s="72"/>
      <c r="D34" s="73"/>
      <c r="E34" s="73"/>
      <c r="F34" s="29" t="s">
        <v>31</v>
      </c>
      <c r="G34" s="30"/>
      <c r="H34" s="75"/>
      <c r="I34" s="23"/>
      <c r="J34" s="75"/>
      <c r="K34" s="75"/>
      <c r="L34" s="78">
        <f>VLOOKUP(L33,RECOVERY!$AA$8:$AP$10,5,FALSE)</f>
        <v>1.4</v>
      </c>
      <c r="M34" s="78">
        <f>VLOOKUP(M33,RECOVERY!$AA$27:$AP$29,5,FALSE)</f>
        <v>0.65</v>
      </c>
      <c r="N34" s="78">
        <v>-1.5</v>
      </c>
      <c r="O34" s="78">
        <v>0.0</v>
      </c>
      <c r="P34" s="78">
        <v>1.5</v>
      </c>
      <c r="Q34" s="75"/>
      <c r="R34" s="78" t="s">
        <v>35</v>
      </c>
      <c r="S34" s="25"/>
      <c r="T34" s="27">
        <v>0.1</v>
      </c>
      <c r="U34" s="27">
        <v>1.33</v>
      </c>
      <c r="V34" s="31">
        <v>-1.23</v>
      </c>
    </row>
    <row r="35">
      <c r="A35" s="112"/>
      <c r="B35" s="79" t="s">
        <v>8</v>
      </c>
      <c r="C35" s="80"/>
      <c r="D35" s="81" t="s">
        <v>36</v>
      </c>
      <c r="E35" s="82" t="s">
        <v>37</v>
      </c>
      <c r="F35" s="29" t="str">
        <f>F25</f>
        <v>100/100</v>
      </c>
      <c r="G35" s="30" t="s">
        <v>38</v>
      </c>
      <c r="H35" s="83" t="s">
        <v>39</v>
      </c>
      <c r="I35" s="36" t="s">
        <v>40</v>
      </c>
      <c r="J35" s="83" t="s">
        <v>41</v>
      </c>
      <c r="K35" s="83" t="s">
        <v>42</v>
      </c>
      <c r="L35" s="83" t="s">
        <v>43</v>
      </c>
      <c r="M35" s="83" t="s">
        <v>44</v>
      </c>
      <c r="N35" s="83" t="s">
        <v>45</v>
      </c>
      <c r="O35" s="83" t="s">
        <v>46</v>
      </c>
      <c r="P35" s="83" t="s">
        <v>47</v>
      </c>
      <c r="Q35" s="84" t="s">
        <v>48</v>
      </c>
      <c r="R35" s="36" t="s">
        <v>49</v>
      </c>
      <c r="S35" s="30" t="s">
        <v>50</v>
      </c>
      <c r="T35" s="37" t="s">
        <v>51</v>
      </c>
      <c r="U35" s="37" t="s">
        <v>45</v>
      </c>
      <c r="V35" s="38" t="s">
        <v>47</v>
      </c>
    </row>
    <row r="36">
      <c r="A36" s="112"/>
      <c r="B36" s="85" t="s">
        <v>15</v>
      </c>
      <c r="C36" s="86" t="s">
        <v>52</v>
      </c>
      <c r="D36" s="21">
        <f>D26-10</f>
        <v>150</v>
      </c>
      <c r="E36" s="87">
        <f t="shared" ref="E36:E41" si="13">D36+F36</f>
        <v>150</v>
      </c>
      <c r="F36" s="42"/>
      <c r="G36" s="30">
        <f>G26</f>
        <v>40</v>
      </c>
      <c r="H36" s="62">
        <f>$G$6+(E36/2)+$AB$6+(Z36/2)+$L$2</f>
        <v>145</v>
      </c>
      <c r="I36" s="30">
        <f>1-(E37/1000)</f>
        <v>0.745</v>
      </c>
      <c r="J36" s="88">
        <f>ROUND(POWER(E36/100,0.5),3)</f>
        <v>1.225</v>
      </c>
      <c r="K36" s="62">
        <f>(G38*J36*I36*N32)</f>
        <v>12.77675</v>
      </c>
      <c r="L36" s="62">
        <f>1+(L34-1)*(1-E40/500)</f>
        <v>1.3776</v>
      </c>
      <c r="M36" s="44">
        <f>M34+((1-M34)*0.5*E40/400)</f>
        <v>0.66225</v>
      </c>
      <c r="N36" s="62">
        <f>(E39+(Q36*N34))/1.3</f>
        <v>24.01538462</v>
      </c>
      <c r="O36" s="62">
        <f t="shared" ref="O36:P36" si="11">(D39+(P36*O34))/1.3</f>
        <v>26.92307692</v>
      </c>
      <c r="P36" s="62">
        <f t="shared" si="11"/>
        <v>29.83076923</v>
      </c>
      <c r="Q36" s="88">
        <f>3*(E38/100)</f>
        <v>2.52</v>
      </c>
      <c r="R36" s="62">
        <f>E38*1*(VLOOKUP(B36,SPIN!$M$27:$N$40,2,FALSE))</f>
        <v>4200</v>
      </c>
      <c r="S36" s="30">
        <f>E38*2*3.14/60</f>
        <v>8.792</v>
      </c>
      <c r="T36" s="45">
        <f t="shared" ref="T36:V36" si="12">$S36*T34*8</f>
        <v>7.0336</v>
      </c>
      <c r="U36" s="45">
        <f t="shared" si="12"/>
        <v>93.54688</v>
      </c>
      <c r="V36" s="46">
        <f t="shared" si="12"/>
        <v>-86.51328</v>
      </c>
    </row>
    <row r="37">
      <c r="A37" s="112"/>
      <c r="B37" s="89"/>
      <c r="C37" s="86" t="s">
        <v>54</v>
      </c>
      <c r="D37" s="21">
        <f>D27</f>
        <v>255</v>
      </c>
      <c r="E37" s="87">
        <f t="shared" si="13"/>
        <v>255</v>
      </c>
      <c r="F37" s="42"/>
      <c r="G37" s="30" t="s">
        <v>55</v>
      </c>
      <c r="H37" s="75"/>
      <c r="I37" s="23"/>
      <c r="J37" s="75"/>
      <c r="K37" s="75"/>
      <c r="L37" s="75"/>
      <c r="M37" s="75"/>
      <c r="N37" s="75"/>
      <c r="O37" s="75"/>
      <c r="P37" s="75"/>
      <c r="Q37" s="75"/>
      <c r="R37" s="75"/>
      <c r="S37" s="23"/>
      <c r="T37" s="27"/>
      <c r="U37" s="27"/>
      <c r="V37" s="31"/>
    </row>
    <row r="38">
      <c r="A38" s="112"/>
      <c r="B38" s="89"/>
      <c r="C38" s="86" t="s">
        <v>57</v>
      </c>
      <c r="D38" s="21">
        <v>84.0</v>
      </c>
      <c r="E38" s="87">
        <f t="shared" si="13"/>
        <v>84</v>
      </c>
      <c r="F38" s="42"/>
      <c r="G38" s="30">
        <f>G28</f>
        <v>14</v>
      </c>
      <c r="H38" s="75"/>
      <c r="I38" s="23"/>
      <c r="J38" s="75"/>
      <c r="K38" s="75"/>
      <c r="L38" s="75"/>
      <c r="M38" s="75"/>
      <c r="N38" s="75"/>
      <c r="O38" s="75"/>
      <c r="P38" s="75"/>
      <c r="Q38" s="75"/>
      <c r="R38" s="75"/>
      <c r="S38" s="23"/>
      <c r="T38" s="27"/>
      <c r="U38" s="27"/>
      <c r="V38" s="31"/>
    </row>
    <row r="39">
      <c r="A39" s="112"/>
      <c r="B39" s="89"/>
      <c r="C39" s="86" t="s">
        <v>59</v>
      </c>
      <c r="D39" s="48">
        <f>'DEFAULT CLUBS-COMMON'!D39</f>
        <v>35</v>
      </c>
      <c r="E39" s="87">
        <f t="shared" si="13"/>
        <v>35</v>
      </c>
      <c r="F39" s="49"/>
      <c r="G39" s="50"/>
      <c r="H39" s="75"/>
      <c r="I39" s="23"/>
      <c r="J39" s="75"/>
      <c r="K39" s="75"/>
      <c r="L39" s="75"/>
      <c r="M39" s="75"/>
      <c r="N39" s="75"/>
      <c r="O39" s="75"/>
      <c r="P39" s="75"/>
      <c r="Q39" s="75"/>
      <c r="R39" s="75"/>
      <c r="S39" s="23"/>
      <c r="T39" s="27"/>
      <c r="U39" s="27"/>
      <c r="V39" s="31"/>
    </row>
    <row r="40">
      <c r="A40" s="112"/>
      <c r="B40" s="89"/>
      <c r="C40" s="86" t="s">
        <v>61</v>
      </c>
      <c r="D40" s="59">
        <f>D50</f>
        <v>28</v>
      </c>
      <c r="E40" s="87">
        <f t="shared" si="13"/>
        <v>28</v>
      </c>
      <c r="F40" s="42"/>
      <c r="G40" s="50"/>
      <c r="H40" s="75"/>
      <c r="I40" s="23"/>
      <c r="J40" s="75"/>
      <c r="K40" s="75"/>
      <c r="L40" s="75"/>
      <c r="M40" s="75"/>
      <c r="N40" s="75"/>
      <c r="O40" s="75"/>
      <c r="P40" s="75"/>
      <c r="Q40" s="75"/>
      <c r="R40" s="75"/>
      <c r="S40" s="23"/>
      <c r="T40" s="27"/>
      <c r="U40" s="27"/>
      <c r="V40" s="31"/>
    </row>
    <row r="41">
      <c r="A41" s="112"/>
      <c r="B41" s="90"/>
      <c r="C41" s="91" t="s">
        <v>62</v>
      </c>
      <c r="D41" s="60">
        <f>D31</f>
        <v>200</v>
      </c>
      <c r="E41" s="92">
        <f t="shared" si="13"/>
        <v>200</v>
      </c>
      <c r="F41" s="61"/>
      <c r="G41" s="55"/>
      <c r="H41" s="93"/>
      <c r="I41" s="56"/>
      <c r="J41" s="93"/>
      <c r="K41" s="93"/>
      <c r="L41" s="93"/>
      <c r="M41" s="93"/>
      <c r="N41" s="93"/>
      <c r="O41" s="93"/>
      <c r="P41" s="93"/>
      <c r="Q41" s="93"/>
      <c r="R41" s="93"/>
      <c r="S41" s="56"/>
      <c r="T41" s="57"/>
      <c r="U41" s="57"/>
      <c r="V41" s="58"/>
    </row>
    <row r="42">
      <c r="A42" s="112"/>
      <c r="B42" s="64"/>
      <c r="C42" s="65"/>
      <c r="D42" s="66"/>
      <c r="E42" s="66"/>
      <c r="F42" s="12"/>
      <c r="G42" s="13"/>
      <c r="H42" s="68" t="s">
        <v>27</v>
      </c>
      <c r="I42" s="14"/>
      <c r="J42" s="68"/>
      <c r="K42" s="68" t="s">
        <v>28</v>
      </c>
      <c r="L42" s="69">
        <f>RANDBETWEEN(0,3)</f>
        <v>0</v>
      </c>
      <c r="M42" s="68" t="s">
        <v>29</v>
      </c>
      <c r="N42" s="70">
        <v>1.0</v>
      </c>
      <c r="O42" s="68"/>
      <c r="P42" s="68"/>
      <c r="Q42" s="68"/>
      <c r="R42" s="68"/>
      <c r="S42" s="16"/>
      <c r="T42" s="17"/>
      <c r="U42" s="17"/>
      <c r="V42" s="18"/>
    </row>
    <row r="43">
      <c r="A43" s="112"/>
      <c r="B43" s="71"/>
      <c r="C43" s="72"/>
      <c r="D43" s="73"/>
      <c r="E43" s="73"/>
      <c r="F43" s="21"/>
      <c r="G43" s="22"/>
      <c r="H43" s="75"/>
      <c r="I43" s="23"/>
      <c r="J43" s="75"/>
      <c r="K43" s="75"/>
      <c r="L43" s="76" t="s">
        <v>33</v>
      </c>
      <c r="M43" s="76" t="s">
        <v>33</v>
      </c>
      <c r="N43" s="75"/>
      <c r="O43" s="75"/>
      <c r="P43" s="75"/>
      <c r="Q43" s="75"/>
      <c r="R43" s="75"/>
      <c r="S43" s="25"/>
      <c r="T43" s="26"/>
      <c r="U43" s="27" t="s">
        <v>34</v>
      </c>
      <c r="V43" s="28"/>
    </row>
    <row r="44">
      <c r="A44" s="112"/>
      <c r="B44" s="71"/>
      <c r="C44" s="72"/>
      <c r="D44" s="73"/>
      <c r="E44" s="73"/>
      <c r="F44" s="29" t="s">
        <v>31</v>
      </c>
      <c r="G44" s="30"/>
      <c r="H44" s="75"/>
      <c r="I44" s="23"/>
      <c r="J44" s="75"/>
      <c r="K44" s="75"/>
      <c r="L44" s="78">
        <f>VLOOKUP(L43,RECOVERY!$AA$8:$AP$10,6,FALSE)</f>
        <v>1.3</v>
      </c>
      <c r="M44" s="78">
        <f>VLOOKUP(M43,RECOVERY!$AA$27:$AP$29,6,FALSE)</f>
        <v>0.65</v>
      </c>
      <c r="N44" s="78">
        <v>-1.5</v>
      </c>
      <c r="O44" s="78">
        <v>0.0</v>
      </c>
      <c r="P44" s="78">
        <v>1.5</v>
      </c>
      <c r="Q44" s="75"/>
      <c r="R44" s="78" t="s">
        <v>35</v>
      </c>
      <c r="S44" s="25"/>
      <c r="T44" s="27">
        <v>0.1</v>
      </c>
      <c r="U44" s="27">
        <v>1.33</v>
      </c>
      <c r="V44" s="31">
        <v>-1.23</v>
      </c>
    </row>
    <row r="45">
      <c r="A45" s="112"/>
      <c r="B45" s="79" t="s">
        <v>8</v>
      </c>
      <c r="C45" s="80"/>
      <c r="D45" s="81" t="s">
        <v>36</v>
      </c>
      <c r="E45" s="82" t="s">
        <v>37</v>
      </c>
      <c r="F45" s="29" t="str">
        <f>F35</f>
        <v>100/100</v>
      </c>
      <c r="G45" s="30" t="s">
        <v>38</v>
      </c>
      <c r="H45" s="83" t="s">
        <v>39</v>
      </c>
      <c r="I45" s="36" t="s">
        <v>40</v>
      </c>
      <c r="J45" s="83" t="s">
        <v>41</v>
      </c>
      <c r="K45" s="83" t="s">
        <v>42</v>
      </c>
      <c r="L45" s="83" t="s">
        <v>43</v>
      </c>
      <c r="M45" s="83" t="s">
        <v>44</v>
      </c>
      <c r="N45" s="83" t="s">
        <v>45</v>
      </c>
      <c r="O45" s="83" t="s">
        <v>46</v>
      </c>
      <c r="P45" s="83" t="s">
        <v>47</v>
      </c>
      <c r="Q45" s="84" t="s">
        <v>48</v>
      </c>
      <c r="R45" s="36" t="s">
        <v>49</v>
      </c>
      <c r="S45" s="30" t="s">
        <v>50</v>
      </c>
      <c r="T45" s="37" t="s">
        <v>51</v>
      </c>
      <c r="U45" s="37" t="s">
        <v>45</v>
      </c>
      <c r="V45" s="38" t="s">
        <v>47</v>
      </c>
    </row>
    <row r="46">
      <c r="A46" s="112"/>
      <c r="B46" s="85" t="s">
        <v>16</v>
      </c>
      <c r="C46" s="86" t="s">
        <v>52</v>
      </c>
      <c r="D46" s="21">
        <f>D36-10</f>
        <v>140</v>
      </c>
      <c r="E46" s="87">
        <f t="shared" ref="E46:E51" si="16">D46+F46</f>
        <v>140</v>
      </c>
      <c r="F46" s="42"/>
      <c r="G46" s="30">
        <f>G36</f>
        <v>40</v>
      </c>
      <c r="H46" s="62">
        <f>$G$6+(E46/2)+$AB$6+(Z46/2)+$L$2</f>
        <v>140</v>
      </c>
      <c r="I46" s="30">
        <f>1-(E47/1000)</f>
        <v>0.74</v>
      </c>
      <c r="J46" s="88">
        <f>ROUND(POWER(E46/100,0.5),3)</f>
        <v>1.183</v>
      </c>
      <c r="K46" s="62">
        <f>(G48*J46*I46*N42)</f>
        <v>12.25588</v>
      </c>
      <c r="L46" s="62">
        <f>1+(L44-1)*(1-E50/500)</f>
        <v>1.2832</v>
      </c>
      <c r="M46" s="44">
        <f>M44+((1-M44)*0.5*E50/400)</f>
        <v>0.66225</v>
      </c>
      <c r="N46" s="62">
        <f>(E49+(Q46*N44))/1.3</f>
        <v>24.15384615</v>
      </c>
      <c r="O46" s="62">
        <f t="shared" ref="O46:P46" si="14">(D49+(P46*O44))/1.3</f>
        <v>26.92307692</v>
      </c>
      <c r="P46" s="62">
        <f t="shared" si="14"/>
        <v>29.69230769</v>
      </c>
      <c r="Q46" s="88">
        <f>3*(E48/100)</f>
        <v>2.4</v>
      </c>
      <c r="R46" s="62">
        <f>E48*1*(VLOOKUP(B46,SPIN!$M$27:$N$40,2,FALSE))</f>
        <v>4800</v>
      </c>
      <c r="S46" s="30">
        <f>E48*2*3.14/60</f>
        <v>8.373333333</v>
      </c>
      <c r="T46" s="45">
        <f t="shared" ref="T46:V46" si="15">$S46*T44*8</f>
        <v>6.698666667</v>
      </c>
      <c r="U46" s="45">
        <f t="shared" si="15"/>
        <v>89.09226667</v>
      </c>
      <c r="V46" s="46">
        <f t="shared" si="15"/>
        <v>-82.3936</v>
      </c>
    </row>
    <row r="47">
      <c r="A47" s="112"/>
      <c r="B47" s="89"/>
      <c r="C47" s="86" t="s">
        <v>54</v>
      </c>
      <c r="D47" s="21">
        <f>D37+5</f>
        <v>260</v>
      </c>
      <c r="E47" s="87">
        <f t="shared" si="16"/>
        <v>260</v>
      </c>
      <c r="F47" s="42"/>
      <c r="G47" s="30" t="s">
        <v>55</v>
      </c>
      <c r="H47" s="75"/>
      <c r="I47" s="23"/>
      <c r="J47" s="75"/>
      <c r="K47" s="75"/>
      <c r="L47" s="75"/>
      <c r="M47" s="75"/>
      <c r="N47" s="75"/>
      <c r="O47" s="75"/>
      <c r="P47" s="75"/>
      <c r="Q47" s="75"/>
      <c r="R47" s="75"/>
      <c r="S47" s="23"/>
      <c r="T47" s="27"/>
      <c r="U47" s="27"/>
      <c r="V47" s="31"/>
    </row>
    <row r="48">
      <c r="A48" s="112"/>
      <c r="B48" s="89"/>
      <c r="C48" s="86" t="s">
        <v>57</v>
      </c>
      <c r="D48" s="21">
        <v>80.0</v>
      </c>
      <c r="E48" s="87">
        <f t="shared" si="16"/>
        <v>80</v>
      </c>
      <c r="F48" s="42"/>
      <c r="G48" s="30">
        <f>G38</f>
        <v>14</v>
      </c>
      <c r="H48" s="75"/>
      <c r="I48" s="23"/>
      <c r="J48" s="75"/>
      <c r="K48" s="75"/>
      <c r="L48" s="75"/>
      <c r="M48" s="75"/>
      <c r="N48" s="75"/>
      <c r="O48" s="75"/>
      <c r="P48" s="75"/>
      <c r="Q48" s="75"/>
      <c r="R48" s="75"/>
      <c r="S48" s="23"/>
      <c r="T48" s="27"/>
      <c r="U48" s="27"/>
      <c r="V48" s="31"/>
    </row>
    <row r="49">
      <c r="A49" s="112"/>
      <c r="B49" s="89"/>
      <c r="C49" s="86" t="s">
        <v>59</v>
      </c>
      <c r="D49" s="48">
        <f>'DEFAULT CLUBS-COMMON'!D49</f>
        <v>35</v>
      </c>
      <c r="E49" s="87">
        <f t="shared" si="16"/>
        <v>35</v>
      </c>
      <c r="F49" s="49"/>
      <c r="G49" s="50"/>
      <c r="H49" s="75"/>
      <c r="I49" s="23"/>
      <c r="J49" s="75"/>
      <c r="K49" s="75"/>
      <c r="L49" s="75"/>
      <c r="M49" s="75"/>
      <c r="N49" s="75"/>
      <c r="O49" s="75"/>
      <c r="P49" s="75"/>
      <c r="Q49" s="75"/>
      <c r="R49" s="75"/>
      <c r="S49" s="23"/>
      <c r="T49" s="27"/>
      <c r="U49" s="27"/>
      <c r="V49" s="31"/>
    </row>
    <row r="50">
      <c r="A50" s="112"/>
      <c r="B50" s="89"/>
      <c r="C50" s="86" t="s">
        <v>61</v>
      </c>
      <c r="D50" s="59">
        <f>D60-10</f>
        <v>28</v>
      </c>
      <c r="E50" s="87">
        <f t="shared" si="16"/>
        <v>28</v>
      </c>
      <c r="F50" s="42"/>
      <c r="G50" s="50"/>
      <c r="H50" s="75"/>
      <c r="I50" s="23"/>
      <c r="J50" s="75"/>
      <c r="K50" s="75"/>
      <c r="L50" s="75"/>
      <c r="M50" s="75"/>
      <c r="N50" s="75"/>
      <c r="O50" s="75"/>
      <c r="P50" s="75"/>
      <c r="Q50" s="75"/>
      <c r="R50" s="75"/>
      <c r="S50" s="23"/>
      <c r="T50" s="27"/>
      <c r="U50" s="27"/>
      <c r="V50" s="31"/>
    </row>
    <row r="51">
      <c r="A51" s="112"/>
      <c r="B51" s="90"/>
      <c r="C51" s="91" t="s">
        <v>62</v>
      </c>
      <c r="D51" s="60">
        <f>D41</f>
        <v>200</v>
      </c>
      <c r="E51" s="92">
        <f t="shared" si="16"/>
        <v>200</v>
      </c>
      <c r="F51" s="61"/>
      <c r="G51" s="55"/>
      <c r="H51" s="93"/>
      <c r="I51" s="56"/>
      <c r="J51" s="93"/>
      <c r="K51" s="93"/>
      <c r="L51" s="93"/>
      <c r="M51" s="93"/>
      <c r="N51" s="93"/>
      <c r="O51" s="93"/>
      <c r="P51" s="93"/>
      <c r="Q51" s="93"/>
      <c r="R51" s="93"/>
      <c r="S51" s="56"/>
      <c r="T51" s="57"/>
      <c r="U51" s="57"/>
      <c r="V51" s="58"/>
    </row>
    <row r="52">
      <c r="A52" s="112"/>
      <c r="B52" s="64"/>
      <c r="C52" s="65"/>
      <c r="D52" s="66"/>
      <c r="E52" s="66"/>
      <c r="F52" s="12"/>
      <c r="G52" s="13"/>
      <c r="H52" s="68" t="s">
        <v>27</v>
      </c>
      <c r="I52" s="14"/>
      <c r="J52" s="68"/>
      <c r="K52" s="68" t="s">
        <v>28</v>
      </c>
      <c r="L52" s="69">
        <f>RANDBETWEEN(0,3)</f>
        <v>2</v>
      </c>
      <c r="M52" s="68" t="s">
        <v>29</v>
      </c>
      <c r="N52" s="70">
        <v>1.0</v>
      </c>
      <c r="O52" s="68"/>
      <c r="P52" s="68"/>
      <c r="Q52" s="68"/>
      <c r="R52" s="68"/>
      <c r="S52" s="16"/>
      <c r="T52" s="17"/>
      <c r="U52" s="17"/>
      <c r="V52" s="18"/>
    </row>
    <row r="53">
      <c r="A53" s="112"/>
      <c r="B53" s="71"/>
      <c r="C53" s="72"/>
      <c r="D53" s="73"/>
      <c r="E53" s="73"/>
      <c r="F53" s="21"/>
      <c r="G53" s="22"/>
      <c r="H53" s="75"/>
      <c r="I53" s="23"/>
      <c r="J53" s="75"/>
      <c r="K53" s="75"/>
      <c r="L53" s="76" t="s">
        <v>33</v>
      </c>
      <c r="M53" s="76" t="s">
        <v>33</v>
      </c>
      <c r="N53" s="75"/>
      <c r="O53" s="75"/>
      <c r="P53" s="75"/>
      <c r="Q53" s="75"/>
      <c r="R53" s="75"/>
      <c r="S53" s="25"/>
      <c r="T53" s="26"/>
      <c r="U53" s="27" t="s">
        <v>34</v>
      </c>
      <c r="V53" s="28"/>
    </row>
    <row r="54">
      <c r="A54" s="112"/>
      <c r="B54" s="71"/>
      <c r="C54" s="72"/>
      <c r="D54" s="73"/>
      <c r="E54" s="73"/>
      <c r="F54" s="29" t="s">
        <v>31</v>
      </c>
      <c r="G54" s="30"/>
      <c r="H54" s="75"/>
      <c r="I54" s="23"/>
      <c r="J54" s="75"/>
      <c r="K54" s="75"/>
      <c r="L54" s="78">
        <f>VLOOKUP(L53,RECOVERY!$AA$8:$AP$10,7,FALSE)</f>
        <v>1.3</v>
      </c>
      <c r="M54" s="78">
        <f>VLOOKUP(M53,RECOVERY!$AA$27:$AP$29,7,FALSE)</f>
        <v>0.65</v>
      </c>
      <c r="N54" s="78">
        <v>-1.5</v>
      </c>
      <c r="O54" s="78">
        <v>0.0</v>
      </c>
      <c r="P54" s="78">
        <v>1.5</v>
      </c>
      <c r="Q54" s="75"/>
      <c r="R54" s="78" t="s">
        <v>35</v>
      </c>
      <c r="S54" s="25"/>
      <c r="T54" s="27">
        <v>0.1</v>
      </c>
      <c r="U54" s="27">
        <v>1.33</v>
      </c>
      <c r="V54" s="31">
        <v>-1.23</v>
      </c>
    </row>
    <row r="55">
      <c r="A55" s="112"/>
      <c r="B55" s="79" t="s">
        <v>8</v>
      </c>
      <c r="C55" s="80"/>
      <c r="D55" s="81" t="s">
        <v>36</v>
      </c>
      <c r="E55" s="82" t="s">
        <v>37</v>
      </c>
      <c r="F55" s="29" t="str">
        <f>F45</f>
        <v>100/100</v>
      </c>
      <c r="G55" s="30" t="s">
        <v>38</v>
      </c>
      <c r="H55" s="83" t="s">
        <v>39</v>
      </c>
      <c r="I55" s="36" t="s">
        <v>40</v>
      </c>
      <c r="J55" s="83" t="s">
        <v>41</v>
      </c>
      <c r="K55" s="83" t="s">
        <v>42</v>
      </c>
      <c r="L55" s="83" t="s">
        <v>43</v>
      </c>
      <c r="M55" s="83" t="s">
        <v>44</v>
      </c>
      <c r="N55" s="83" t="s">
        <v>45</v>
      </c>
      <c r="O55" s="83" t="s">
        <v>46</v>
      </c>
      <c r="P55" s="83" t="s">
        <v>47</v>
      </c>
      <c r="Q55" s="84" t="s">
        <v>48</v>
      </c>
      <c r="R55" s="36" t="s">
        <v>49</v>
      </c>
      <c r="S55" s="30" t="s">
        <v>50</v>
      </c>
      <c r="T55" s="37" t="s">
        <v>51</v>
      </c>
      <c r="U55" s="37" t="s">
        <v>45</v>
      </c>
      <c r="V55" s="38" t="s">
        <v>47</v>
      </c>
    </row>
    <row r="56">
      <c r="A56" s="112"/>
      <c r="B56" s="85" t="s">
        <v>17</v>
      </c>
      <c r="C56" s="86" t="s">
        <v>52</v>
      </c>
      <c r="D56" s="21">
        <f>D46-10</f>
        <v>130</v>
      </c>
      <c r="E56" s="87">
        <f t="shared" ref="E56:E61" si="19">D56+F56</f>
        <v>130</v>
      </c>
      <c r="F56" s="42"/>
      <c r="G56" s="30">
        <f>G46</f>
        <v>40</v>
      </c>
      <c r="H56" s="62">
        <f>$G$6+(E56/2)+$AB$6+(Z56/2)+$L$2</f>
        <v>135</v>
      </c>
      <c r="I56" s="30">
        <f>1-(E57/1000)</f>
        <v>0.74</v>
      </c>
      <c r="J56" s="88">
        <f>ROUND(POWER(E56/100,0.5),3)</f>
        <v>1.14</v>
      </c>
      <c r="K56" s="62">
        <f>(G58*J56*I56*N52)</f>
        <v>11.8104</v>
      </c>
      <c r="L56" s="62">
        <f>1+(L54-1)*(1-E60/500)</f>
        <v>1.2772</v>
      </c>
      <c r="M56" s="44">
        <f>M54+((1-M54)*0.5*E60/400)</f>
        <v>0.666625</v>
      </c>
      <c r="N56" s="62">
        <f>(E59+(Q56*N54))/1.3</f>
        <v>24.15384615</v>
      </c>
      <c r="O56" s="62">
        <f t="shared" ref="O56:P56" si="17">(D59+(P56*O54))/1.3</f>
        <v>26.92307692</v>
      </c>
      <c r="P56" s="62">
        <f t="shared" si="17"/>
        <v>29.69230769</v>
      </c>
      <c r="Q56" s="88">
        <f>3*(E58/100)</f>
        <v>2.4</v>
      </c>
      <c r="R56" s="62">
        <f>E58*1*(VLOOKUP(B56,SPIN!$M$27:$N$40,2,FALSE))</f>
        <v>4800</v>
      </c>
      <c r="S56" s="30">
        <f>E58*2*3.14/60</f>
        <v>8.373333333</v>
      </c>
      <c r="T56" s="45">
        <f t="shared" ref="T56:V56" si="18">$S56*T54*8</f>
        <v>6.698666667</v>
      </c>
      <c r="U56" s="45">
        <f t="shared" si="18"/>
        <v>89.09226667</v>
      </c>
      <c r="V56" s="46">
        <f t="shared" si="18"/>
        <v>-82.3936</v>
      </c>
    </row>
    <row r="57">
      <c r="A57" s="112"/>
      <c r="B57" s="89"/>
      <c r="C57" s="86" t="s">
        <v>54</v>
      </c>
      <c r="D57" s="21">
        <f>D47</f>
        <v>260</v>
      </c>
      <c r="E57" s="87">
        <f t="shared" si="19"/>
        <v>260</v>
      </c>
      <c r="F57" s="42"/>
      <c r="G57" s="30" t="s">
        <v>55</v>
      </c>
      <c r="H57" s="75"/>
      <c r="I57" s="23"/>
      <c r="J57" s="75"/>
      <c r="K57" s="75"/>
      <c r="L57" s="75"/>
      <c r="M57" s="75"/>
      <c r="N57" s="75"/>
      <c r="O57" s="75"/>
      <c r="P57" s="75"/>
      <c r="Q57" s="75"/>
      <c r="R57" s="75"/>
      <c r="S57" s="23"/>
      <c r="T57" s="27"/>
      <c r="U57" s="27"/>
      <c r="V57" s="31"/>
    </row>
    <row r="58">
      <c r="A58" s="112"/>
      <c r="B58" s="89"/>
      <c r="C58" s="86" t="s">
        <v>57</v>
      </c>
      <c r="D58" s="21">
        <v>80.0</v>
      </c>
      <c r="E58" s="87">
        <f t="shared" si="19"/>
        <v>80</v>
      </c>
      <c r="F58" s="42"/>
      <c r="G58" s="30">
        <f>G48</f>
        <v>14</v>
      </c>
      <c r="H58" s="75"/>
      <c r="I58" s="23"/>
      <c r="J58" s="75"/>
      <c r="K58" s="75"/>
      <c r="L58" s="75"/>
      <c r="M58" s="75"/>
      <c r="N58" s="75"/>
      <c r="O58" s="75"/>
      <c r="P58" s="75"/>
      <c r="Q58" s="75"/>
      <c r="R58" s="75"/>
      <c r="S58" s="23"/>
      <c r="T58" s="27"/>
      <c r="U58" s="27"/>
      <c r="V58" s="31"/>
    </row>
    <row r="59">
      <c r="A59" s="112"/>
      <c r="B59" s="89"/>
      <c r="C59" s="86" t="s">
        <v>59</v>
      </c>
      <c r="D59" s="48">
        <f>'DEFAULT CLUBS-COMMON'!D59</f>
        <v>35</v>
      </c>
      <c r="E59" s="87">
        <f t="shared" si="19"/>
        <v>35</v>
      </c>
      <c r="F59" s="49"/>
      <c r="G59" s="50"/>
      <c r="H59" s="75"/>
      <c r="I59" s="23"/>
      <c r="J59" s="75"/>
      <c r="K59" s="75"/>
      <c r="L59" s="75"/>
      <c r="M59" s="75"/>
      <c r="N59" s="75"/>
      <c r="O59" s="75"/>
      <c r="P59" s="75"/>
      <c r="Q59" s="75"/>
      <c r="R59" s="75"/>
      <c r="S59" s="23"/>
      <c r="T59" s="27"/>
      <c r="U59" s="27"/>
      <c r="V59" s="31"/>
    </row>
    <row r="60">
      <c r="A60" s="112"/>
      <c r="B60" s="89"/>
      <c r="C60" s="86" t="s">
        <v>61</v>
      </c>
      <c r="D60" s="59">
        <f>D70</f>
        <v>38</v>
      </c>
      <c r="E60" s="87">
        <f t="shared" si="19"/>
        <v>38</v>
      </c>
      <c r="F60" s="42"/>
      <c r="G60" s="50"/>
      <c r="H60" s="75"/>
      <c r="I60" s="23"/>
      <c r="J60" s="75"/>
      <c r="K60" s="75"/>
      <c r="L60" s="75"/>
      <c r="M60" s="75"/>
      <c r="N60" s="75"/>
      <c r="O60" s="75"/>
      <c r="P60" s="75"/>
      <c r="Q60" s="75"/>
      <c r="R60" s="75"/>
      <c r="S60" s="23"/>
      <c r="T60" s="27"/>
      <c r="U60" s="27"/>
      <c r="V60" s="31"/>
    </row>
    <row r="61">
      <c r="A61" s="112"/>
      <c r="B61" s="90"/>
      <c r="C61" s="91" t="s">
        <v>62</v>
      </c>
      <c r="D61" s="60">
        <f>D51</f>
        <v>200</v>
      </c>
      <c r="E61" s="92">
        <f t="shared" si="19"/>
        <v>200</v>
      </c>
      <c r="F61" s="61"/>
      <c r="G61" s="55"/>
      <c r="H61" s="93"/>
      <c r="I61" s="56"/>
      <c r="J61" s="93"/>
      <c r="K61" s="93"/>
      <c r="L61" s="93"/>
      <c r="M61" s="93"/>
      <c r="N61" s="93"/>
      <c r="O61" s="93"/>
      <c r="P61" s="93"/>
      <c r="Q61" s="93"/>
      <c r="R61" s="93"/>
      <c r="S61" s="56"/>
      <c r="T61" s="57"/>
      <c r="U61" s="57"/>
      <c r="V61" s="58"/>
    </row>
    <row r="62">
      <c r="A62" s="112"/>
      <c r="B62" s="64"/>
      <c r="C62" s="65"/>
      <c r="D62" s="66"/>
      <c r="E62" s="66"/>
      <c r="F62" s="12"/>
      <c r="G62" s="13"/>
      <c r="H62" s="68" t="s">
        <v>27</v>
      </c>
      <c r="I62" s="14"/>
      <c r="J62" s="68"/>
      <c r="K62" s="68" t="s">
        <v>28</v>
      </c>
      <c r="L62" s="69">
        <f>RANDBETWEEN(0,3)</f>
        <v>1</v>
      </c>
      <c r="M62" s="68" t="s">
        <v>29</v>
      </c>
      <c r="N62" s="70">
        <v>1.0</v>
      </c>
      <c r="O62" s="68"/>
      <c r="P62" s="68"/>
      <c r="Q62" s="68"/>
      <c r="R62" s="68"/>
      <c r="S62" s="16"/>
      <c r="T62" s="17"/>
      <c r="U62" s="17"/>
      <c r="V62" s="18"/>
    </row>
    <row r="63">
      <c r="A63" s="112"/>
      <c r="B63" s="71"/>
      <c r="C63" s="72"/>
      <c r="D63" s="73"/>
      <c r="E63" s="73"/>
      <c r="F63" s="21"/>
      <c r="G63" s="22"/>
      <c r="H63" s="75"/>
      <c r="I63" s="23"/>
      <c r="J63" s="75"/>
      <c r="K63" s="75"/>
      <c r="L63" s="76" t="s">
        <v>33</v>
      </c>
      <c r="M63" s="76" t="s">
        <v>33</v>
      </c>
      <c r="N63" s="75"/>
      <c r="O63" s="75"/>
      <c r="P63" s="75"/>
      <c r="Q63" s="75"/>
      <c r="R63" s="75"/>
      <c r="S63" s="25"/>
      <c r="T63" s="26"/>
      <c r="U63" s="27" t="s">
        <v>34</v>
      </c>
      <c r="V63" s="28"/>
    </row>
    <row r="64">
      <c r="A64" s="112"/>
      <c r="B64" s="71"/>
      <c r="C64" s="72"/>
      <c r="D64" s="73"/>
      <c r="E64" s="73"/>
      <c r="F64" s="29" t="s">
        <v>31</v>
      </c>
      <c r="G64" s="30"/>
      <c r="H64" s="75"/>
      <c r="I64" s="23"/>
      <c r="J64" s="75"/>
      <c r="K64" s="75"/>
      <c r="L64" s="78">
        <f>VLOOKUP(L63,RECOVERY!$AA$8:$AP$10,8,FALSE)</f>
        <v>1.25</v>
      </c>
      <c r="M64" s="78">
        <f>VLOOKUP(M63,RECOVERY!$AA$27:$AP$29,8,FALSE)</f>
        <v>0.75</v>
      </c>
      <c r="N64" s="78">
        <v>-1.5</v>
      </c>
      <c r="O64" s="78">
        <v>0.0</v>
      </c>
      <c r="P64" s="78">
        <v>1.5</v>
      </c>
      <c r="Q64" s="75"/>
      <c r="R64" s="78" t="s">
        <v>35</v>
      </c>
      <c r="S64" s="25"/>
      <c r="T64" s="27">
        <v>0.1</v>
      </c>
      <c r="U64" s="27">
        <v>1.33</v>
      </c>
      <c r="V64" s="31">
        <v>-1.23</v>
      </c>
    </row>
    <row r="65">
      <c r="A65" s="112"/>
      <c r="B65" s="79" t="s">
        <v>8</v>
      </c>
      <c r="C65" s="80"/>
      <c r="D65" s="81" t="s">
        <v>36</v>
      </c>
      <c r="E65" s="82" t="s">
        <v>37</v>
      </c>
      <c r="F65" s="29" t="str">
        <f>F55</f>
        <v>100/100</v>
      </c>
      <c r="G65" s="30" t="s">
        <v>38</v>
      </c>
      <c r="H65" s="83" t="s">
        <v>39</v>
      </c>
      <c r="I65" s="36" t="s">
        <v>40</v>
      </c>
      <c r="J65" s="83" t="s">
        <v>41</v>
      </c>
      <c r="K65" s="83" t="s">
        <v>42</v>
      </c>
      <c r="L65" s="83" t="s">
        <v>43</v>
      </c>
      <c r="M65" s="83" t="s">
        <v>44</v>
      </c>
      <c r="N65" s="83" t="s">
        <v>45</v>
      </c>
      <c r="O65" s="83" t="s">
        <v>46</v>
      </c>
      <c r="P65" s="83" t="s">
        <v>47</v>
      </c>
      <c r="Q65" s="84" t="s">
        <v>48</v>
      </c>
      <c r="R65" s="36" t="s">
        <v>49</v>
      </c>
      <c r="S65" s="30" t="s">
        <v>50</v>
      </c>
      <c r="T65" s="37" t="s">
        <v>51</v>
      </c>
      <c r="U65" s="37" t="s">
        <v>45</v>
      </c>
      <c r="V65" s="38" t="s">
        <v>47</v>
      </c>
    </row>
    <row r="66">
      <c r="A66" s="112"/>
      <c r="B66" s="85" t="s">
        <v>18</v>
      </c>
      <c r="C66" s="86" t="s">
        <v>52</v>
      </c>
      <c r="D66" s="21">
        <f>D56-10</f>
        <v>120</v>
      </c>
      <c r="E66" s="87">
        <f t="shared" ref="E66:E71" si="22">D66+F66</f>
        <v>120</v>
      </c>
      <c r="F66" s="42"/>
      <c r="G66" s="30">
        <f>G56</f>
        <v>40</v>
      </c>
      <c r="H66" s="62">
        <f>$G$6+(E66/2)+$AB$6+(Z66/2)+$L$2</f>
        <v>130</v>
      </c>
      <c r="I66" s="30">
        <f>1-(E67/1000)</f>
        <v>0.735</v>
      </c>
      <c r="J66" s="88">
        <f>ROUND(POWER(E66/100,0.5),3)</f>
        <v>1.095</v>
      </c>
      <c r="K66" s="62">
        <f>(G68*J66*I66*N62)</f>
        <v>11.26755</v>
      </c>
      <c r="L66" s="62">
        <f>1+(L64-1)*(1-E70/500)</f>
        <v>1.231</v>
      </c>
      <c r="M66" s="44">
        <f>M64+((1-M64)*0.5*E70/400)</f>
        <v>0.761875</v>
      </c>
      <c r="N66" s="62">
        <f>(E69+(Q66*N64))/1.3</f>
        <v>23.80769231</v>
      </c>
      <c r="O66" s="62">
        <f t="shared" ref="O66:P66" si="20">(D69+(P66*O64))/1.3</f>
        <v>26.92307692</v>
      </c>
      <c r="P66" s="62">
        <f t="shared" si="20"/>
        <v>30.03846154</v>
      </c>
      <c r="Q66" s="88">
        <f>3*(E68/100)</f>
        <v>2.7</v>
      </c>
      <c r="R66" s="62">
        <f>E68*1*(VLOOKUP(B66,SPIN!$M$27:$N$40,2,FALSE))</f>
        <v>6300</v>
      </c>
      <c r="S66" s="30">
        <f>E68*2*3.14/60</f>
        <v>9.42</v>
      </c>
      <c r="T66" s="45">
        <f t="shared" ref="T66:V66" si="21">$S66*T64*8</f>
        <v>7.536</v>
      </c>
      <c r="U66" s="45">
        <f t="shared" si="21"/>
        <v>100.2288</v>
      </c>
      <c r="V66" s="46">
        <f t="shared" si="21"/>
        <v>-92.6928</v>
      </c>
    </row>
    <row r="67">
      <c r="A67" s="112"/>
      <c r="B67" s="89"/>
      <c r="C67" s="86" t="s">
        <v>54</v>
      </c>
      <c r="D67" s="21">
        <f>D57+5</f>
        <v>265</v>
      </c>
      <c r="E67" s="87">
        <f t="shared" si="22"/>
        <v>265</v>
      </c>
      <c r="F67" s="42"/>
      <c r="G67" s="30" t="s">
        <v>55</v>
      </c>
      <c r="H67" s="75"/>
      <c r="I67" s="23"/>
      <c r="J67" s="75"/>
      <c r="K67" s="75"/>
      <c r="L67" s="75"/>
      <c r="M67" s="75"/>
      <c r="N67" s="75"/>
      <c r="O67" s="75"/>
      <c r="P67" s="75"/>
      <c r="Q67" s="75"/>
      <c r="R67" s="75"/>
      <c r="S67" s="23"/>
      <c r="T67" s="27"/>
      <c r="U67" s="27"/>
      <c r="V67" s="31"/>
    </row>
    <row r="68">
      <c r="A68" s="112"/>
      <c r="B68" s="89"/>
      <c r="C68" s="86" t="s">
        <v>57</v>
      </c>
      <c r="D68" s="21">
        <v>90.0</v>
      </c>
      <c r="E68" s="87">
        <f t="shared" si="22"/>
        <v>90</v>
      </c>
      <c r="F68" s="42"/>
      <c r="G68" s="30">
        <f>G58</f>
        <v>14</v>
      </c>
      <c r="H68" s="75"/>
      <c r="I68" s="23"/>
      <c r="J68" s="75"/>
      <c r="K68" s="75"/>
      <c r="L68" s="75"/>
      <c r="M68" s="75"/>
      <c r="N68" s="75"/>
      <c r="O68" s="75"/>
      <c r="P68" s="75"/>
      <c r="Q68" s="75"/>
      <c r="R68" s="75"/>
      <c r="S68" s="23"/>
      <c r="T68" s="27"/>
      <c r="U68" s="27"/>
      <c r="V68" s="31"/>
    </row>
    <row r="69">
      <c r="A69" s="112"/>
      <c r="B69" s="89"/>
      <c r="C69" s="86" t="s">
        <v>59</v>
      </c>
      <c r="D69" s="48">
        <f>'DEFAULT CLUBS-COMMON'!D69</f>
        <v>35</v>
      </c>
      <c r="E69" s="87">
        <f t="shared" si="22"/>
        <v>35</v>
      </c>
      <c r="F69" s="49"/>
      <c r="G69" s="50"/>
      <c r="H69" s="75"/>
      <c r="I69" s="23"/>
      <c r="J69" s="75"/>
      <c r="K69" s="75"/>
      <c r="L69" s="75"/>
      <c r="M69" s="75"/>
      <c r="N69" s="75"/>
      <c r="O69" s="75"/>
      <c r="P69" s="75"/>
      <c r="Q69" s="75"/>
      <c r="R69" s="75"/>
      <c r="S69" s="23"/>
      <c r="T69" s="27"/>
      <c r="U69" s="27"/>
      <c r="V69" s="31"/>
    </row>
    <row r="70">
      <c r="A70" s="112"/>
      <c r="B70" s="89"/>
      <c r="C70" s="86" t="s">
        <v>61</v>
      </c>
      <c r="D70" s="59">
        <f>D80</f>
        <v>38</v>
      </c>
      <c r="E70" s="87">
        <f t="shared" si="22"/>
        <v>38</v>
      </c>
      <c r="F70" s="42"/>
      <c r="G70" s="50"/>
      <c r="H70" s="75"/>
      <c r="I70" s="23"/>
      <c r="J70" s="75"/>
      <c r="K70" s="75"/>
      <c r="L70" s="75"/>
      <c r="M70" s="75"/>
      <c r="N70" s="75"/>
      <c r="O70" s="75"/>
      <c r="P70" s="75"/>
      <c r="Q70" s="75"/>
      <c r="R70" s="75"/>
      <c r="S70" s="23"/>
      <c r="T70" s="27"/>
      <c r="U70" s="27"/>
      <c r="V70" s="31"/>
    </row>
    <row r="71">
      <c r="A71" s="112"/>
      <c r="B71" s="95"/>
      <c r="C71" s="91" t="s">
        <v>62</v>
      </c>
      <c r="D71" s="60">
        <f>D61</f>
        <v>200</v>
      </c>
      <c r="E71" s="92">
        <f t="shared" si="22"/>
        <v>200</v>
      </c>
      <c r="F71" s="61"/>
      <c r="G71" s="55"/>
      <c r="H71" s="93"/>
      <c r="I71" s="56"/>
      <c r="J71" s="93"/>
      <c r="K71" s="93"/>
      <c r="L71" s="93"/>
      <c r="M71" s="93"/>
      <c r="N71" s="93"/>
      <c r="O71" s="93"/>
      <c r="P71" s="93"/>
      <c r="Q71" s="93"/>
      <c r="R71" s="93"/>
      <c r="S71" s="56"/>
      <c r="T71" s="57"/>
      <c r="U71" s="57"/>
      <c r="V71" s="58"/>
    </row>
    <row r="72">
      <c r="A72" s="112"/>
      <c r="B72" s="64"/>
      <c r="C72" s="65"/>
      <c r="D72" s="66"/>
      <c r="E72" s="66"/>
      <c r="F72" s="12"/>
      <c r="G72" s="13"/>
      <c r="H72" s="68" t="s">
        <v>27</v>
      </c>
      <c r="I72" s="14"/>
      <c r="J72" s="68"/>
      <c r="K72" s="68" t="s">
        <v>28</v>
      </c>
      <c r="L72" s="69">
        <f>RANDBETWEEN(0,3)</f>
        <v>3</v>
      </c>
      <c r="M72" s="68" t="s">
        <v>29</v>
      </c>
      <c r="N72" s="70">
        <v>1.0</v>
      </c>
      <c r="O72" s="68"/>
      <c r="P72" s="68"/>
      <c r="Q72" s="68"/>
      <c r="R72" s="68"/>
      <c r="S72" s="16"/>
      <c r="T72" s="17"/>
      <c r="U72" s="17"/>
      <c r="V72" s="18"/>
    </row>
    <row r="73">
      <c r="A73" s="112"/>
      <c r="B73" s="71"/>
      <c r="C73" s="72"/>
      <c r="D73" s="73"/>
      <c r="E73" s="73"/>
      <c r="F73" s="21"/>
      <c r="G73" s="22"/>
      <c r="H73" s="75"/>
      <c r="I73" s="23"/>
      <c r="J73" s="75"/>
      <c r="K73" s="75"/>
      <c r="L73" s="76" t="s">
        <v>33</v>
      </c>
      <c r="M73" s="76" t="s">
        <v>33</v>
      </c>
      <c r="N73" s="75"/>
      <c r="O73" s="75"/>
      <c r="P73" s="75"/>
      <c r="Q73" s="75"/>
      <c r="R73" s="75"/>
      <c r="S73" s="25"/>
      <c r="T73" s="26"/>
      <c r="U73" s="27" t="s">
        <v>34</v>
      </c>
      <c r="V73" s="28"/>
    </row>
    <row r="74">
      <c r="A74" s="112"/>
      <c r="B74" s="71"/>
      <c r="C74" s="72"/>
      <c r="D74" s="73"/>
      <c r="E74" s="73"/>
      <c r="F74" s="29" t="s">
        <v>31</v>
      </c>
      <c r="G74" s="30"/>
      <c r="H74" s="75"/>
      <c r="I74" s="23"/>
      <c r="J74" s="75"/>
      <c r="K74" s="75"/>
      <c r="L74" s="78">
        <f>VLOOKUP(L73,RECOVERY!$AA$8:$AP$10,9,FALSE)</f>
        <v>1.25</v>
      </c>
      <c r="M74" s="78">
        <f>VLOOKUP(M73,RECOVERY!$AA$27:$AP$29,9,FALSE)</f>
        <v>0.75</v>
      </c>
      <c r="N74" s="78">
        <v>-1.5</v>
      </c>
      <c r="O74" s="78">
        <v>0.0</v>
      </c>
      <c r="P74" s="78">
        <v>1.5</v>
      </c>
      <c r="Q74" s="75"/>
      <c r="R74" s="78" t="s">
        <v>35</v>
      </c>
      <c r="S74" s="25"/>
      <c r="T74" s="27">
        <v>0.1</v>
      </c>
      <c r="U74" s="27">
        <v>1.33</v>
      </c>
      <c r="V74" s="31">
        <v>-1.23</v>
      </c>
    </row>
    <row r="75">
      <c r="A75" s="112"/>
      <c r="B75" s="79" t="s">
        <v>8</v>
      </c>
      <c r="C75" s="80"/>
      <c r="D75" s="81" t="s">
        <v>36</v>
      </c>
      <c r="E75" s="82" t="s">
        <v>37</v>
      </c>
      <c r="F75" s="29" t="str">
        <f>F65</f>
        <v>100/100</v>
      </c>
      <c r="G75" s="30" t="s">
        <v>38</v>
      </c>
      <c r="H75" s="83" t="s">
        <v>39</v>
      </c>
      <c r="I75" s="36" t="s">
        <v>40</v>
      </c>
      <c r="J75" s="83" t="s">
        <v>41</v>
      </c>
      <c r="K75" s="83" t="s">
        <v>42</v>
      </c>
      <c r="L75" s="83" t="s">
        <v>43</v>
      </c>
      <c r="M75" s="83" t="s">
        <v>44</v>
      </c>
      <c r="N75" s="83" t="s">
        <v>45</v>
      </c>
      <c r="O75" s="83" t="s">
        <v>46</v>
      </c>
      <c r="P75" s="83" t="s">
        <v>47</v>
      </c>
      <c r="Q75" s="84" t="s">
        <v>48</v>
      </c>
      <c r="R75" s="36" t="s">
        <v>49</v>
      </c>
      <c r="S75" s="30" t="s">
        <v>50</v>
      </c>
      <c r="T75" s="37" t="s">
        <v>51</v>
      </c>
      <c r="U75" s="37" t="s">
        <v>45</v>
      </c>
      <c r="V75" s="38" t="s">
        <v>47</v>
      </c>
    </row>
    <row r="76">
      <c r="A76" s="112"/>
      <c r="B76" s="85" t="s">
        <v>19</v>
      </c>
      <c r="C76" s="86" t="s">
        <v>52</v>
      </c>
      <c r="D76" s="21">
        <f>D66-10</f>
        <v>110</v>
      </c>
      <c r="E76" s="87">
        <f t="shared" ref="E76:E81" si="25">D76+F76</f>
        <v>110</v>
      </c>
      <c r="F76" s="42"/>
      <c r="G76" s="30">
        <f>G66</f>
        <v>40</v>
      </c>
      <c r="H76" s="62">
        <f>$G$6+(E76/2)+$AB$6+(Z76/2)+$L$2</f>
        <v>125</v>
      </c>
      <c r="I76" s="30">
        <f>1-(E77/1000)</f>
        <v>0.735</v>
      </c>
      <c r="J76" s="88">
        <f>ROUND(POWER(E76/100,0.5),3)</f>
        <v>1.049</v>
      </c>
      <c r="K76" s="62">
        <f>(G78*J76*I76*N72)</f>
        <v>10.79421</v>
      </c>
      <c r="L76" s="62">
        <f>1+(L74-1)*(1-E80/500)</f>
        <v>1.231</v>
      </c>
      <c r="M76" s="44">
        <f>M74+((1-M74)*0.5*E80/400)</f>
        <v>0.761875</v>
      </c>
      <c r="N76" s="62">
        <f>(E79+(Q76*N74))/1.3</f>
        <v>23.80769231</v>
      </c>
      <c r="O76" s="62">
        <f t="shared" ref="O76:P76" si="23">(D79+(P76*O74))/1.3</f>
        <v>26.92307692</v>
      </c>
      <c r="P76" s="62">
        <f t="shared" si="23"/>
        <v>30.03846154</v>
      </c>
      <c r="Q76" s="88">
        <f>3*(E78/100)</f>
        <v>2.7</v>
      </c>
      <c r="R76" s="62">
        <f>E78*1*(VLOOKUP(B76,SPIN!$M$27:$N$40,2,FALSE))</f>
        <v>6300</v>
      </c>
      <c r="S76" s="30">
        <f>E78*2*3.14/60</f>
        <v>9.42</v>
      </c>
      <c r="T76" s="45">
        <f t="shared" ref="T76:V76" si="24">$S76*T74*8</f>
        <v>7.536</v>
      </c>
      <c r="U76" s="45">
        <f t="shared" si="24"/>
        <v>100.2288</v>
      </c>
      <c r="V76" s="46">
        <f t="shared" si="24"/>
        <v>-92.6928</v>
      </c>
    </row>
    <row r="77">
      <c r="A77" s="112"/>
      <c r="B77" s="89"/>
      <c r="C77" s="86" t="s">
        <v>54</v>
      </c>
      <c r="D77" s="21">
        <f>D67</f>
        <v>265</v>
      </c>
      <c r="E77" s="87">
        <f t="shared" si="25"/>
        <v>265</v>
      </c>
      <c r="F77" s="42"/>
      <c r="G77" s="30" t="s">
        <v>55</v>
      </c>
      <c r="H77" s="75"/>
      <c r="I77" s="23"/>
      <c r="J77" s="75"/>
      <c r="K77" s="75"/>
      <c r="L77" s="75"/>
      <c r="M77" s="75"/>
      <c r="N77" s="75"/>
      <c r="O77" s="75"/>
      <c r="P77" s="75"/>
      <c r="Q77" s="75"/>
      <c r="R77" s="75"/>
      <c r="S77" s="23"/>
      <c r="T77" s="27"/>
      <c r="U77" s="27"/>
      <c r="V77" s="31"/>
    </row>
    <row r="78">
      <c r="A78" s="112"/>
      <c r="B78" s="89"/>
      <c r="C78" s="86" t="s">
        <v>57</v>
      </c>
      <c r="D78" s="21">
        <v>90.0</v>
      </c>
      <c r="E78" s="87">
        <f t="shared" si="25"/>
        <v>90</v>
      </c>
      <c r="F78" s="42"/>
      <c r="G78" s="30">
        <f>G68</f>
        <v>14</v>
      </c>
      <c r="H78" s="75"/>
      <c r="I78" s="23"/>
      <c r="J78" s="75"/>
      <c r="K78" s="75"/>
      <c r="L78" s="75"/>
      <c r="M78" s="75"/>
      <c r="N78" s="75"/>
      <c r="O78" s="75"/>
      <c r="P78" s="75"/>
      <c r="Q78" s="75"/>
      <c r="R78" s="75"/>
      <c r="S78" s="23"/>
      <c r="T78" s="27"/>
      <c r="U78" s="27"/>
      <c r="V78" s="31"/>
    </row>
    <row r="79">
      <c r="A79" s="112"/>
      <c r="B79" s="89"/>
      <c r="C79" s="86" t="s">
        <v>59</v>
      </c>
      <c r="D79" s="48">
        <f>'DEFAULT CLUBS-COMMON'!D79</f>
        <v>35</v>
      </c>
      <c r="E79" s="87">
        <f t="shared" si="25"/>
        <v>35</v>
      </c>
      <c r="F79" s="49"/>
      <c r="G79" s="50"/>
      <c r="H79" s="75"/>
      <c r="I79" s="23"/>
      <c r="J79" s="75"/>
      <c r="K79" s="75"/>
      <c r="L79" s="75"/>
      <c r="M79" s="75"/>
      <c r="N79" s="75"/>
      <c r="O79" s="75"/>
      <c r="P79" s="75"/>
      <c r="Q79" s="75"/>
      <c r="R79" s="75"/>
      <c r="S79" s="23"/>
      <c r="T79" s="27"/>
      <c r="U79" s="27"/>
      <c r="V79" s="31"/>
    </row>
    <row r="80">
      <c r="A80" s="112"/>
      <c r="B80" s="89"/>
      <c r="C80" s="86" t="s">
        <v>61</v>
      </c>
      <c r="D80" s="59">
        <f>D90-12</f>
        <v>38</v>
      </c>
      <c r="E80" s="87">
        <f t="shared" si="25"/>
        <v>38</v>
      </c>
      <c r="F80" s="42"/>
      <c r="G80" s="50"/>
      <c r="H80" s="75"/>
      <c r="I80" s="23"/>
      <c r="J80" s="75"/>
      <c r="K80" s="75"/>
      <c r="L80" s="75"/>
      <c r="M80" s="75"/>
      <c r="N80" s="75"/>
      <c r="O80" s="75"/>
      <c r="P80" s="75"/>
      <c r="Q80" s="75"/>
      <c r="R80" s="75"/>
      <c r="S80" s="23"/>
      <c r="T80" s="27"/>
      <c r="U80" s="27"/>
      <c r="V80" s="31"/>
    </row>
    <row r="81">
      <c r="A81" s="112"/>
      <c r="B81" s="90"/>
      <c r="C81" s="91" t="s">
        <v>62</v>
      </c>
      <c r="D81" s="60">
        <f>D71</f>
        <v>200</v>
      </c>
      <c r="E81" s="92">
        <f t="shared" si="25"/>
        <v>200</v>
      </c>
      <c r="F81" s="61"/>
      <c r="G81" s="55"/>
      <c r="H81" s="93"/>
      <c r="I81" s="56"/>
      <c r="J81" s="93"/>
      <c r="K81" s="93"/>
      <c r="L81" s="93"/>
      <c r="M81" s="93"/>
      <c r="N81" s="93"/>
      <c r="O81" s="93"/>
      <c r="P81" s="93"/>
      <c r="Q81" s="93"/>
      <c r="R81" s="93"/>
      <c r="S81" s="56"/>
      <c r="T81" s="57"/>
      <c r="U81" s="57"/>
      <c r="V81" s="58"/>
    </row>
    <row r="82">
      <c r="A82" s="112"/>
      <c r="B82" s="64"/>
      <c r="C82" s="65"/>
      <c r="D82" s="66"/>
      <c r="E82" s="66"/>
      <c r="F82" s="12"/>
      <c r="G82" s="13"/>
      <c r="H82" s="68" t="s">
        <v>27</v>
      </c>
      <c r="I82" s="14"/>
      <c r="J82" s="68"/>
      <c r="K82" s="68" t="s">
        <v>28</v>
      </c>
      <c r="L82" s="69">
        <f>RANDBETWEEN(0,3)</f>
        <v>2</v>
      </c>
      <c r="M82" s="68" t="s">
        <v>29</v>
      </c>
      <c r="N82" s="70">
        <v>1.0</v>
      </c>
      <c r="O82" s="68"/>
      <c r="P82" s="68"/>
      <c r="Q82" s="68"/>
      <c r="R82" s="68"/>
      <c r="S82" s="16"/>
      <c r="T82" s="17"/>
      <c r="U82" s="17"/>
      <c r="V82" s="18"/>
    </row>
    <row r="83">
      <c r="A83" s="112"/>
      <c r="B83" s="71"/>
      <c r="C83" s="72"/>
      <c r="D83" s="73"/>
      <c r="E83" s="73"/>
      <c r="F83" s="21"/>
      <c r="G83" s="22"/>
      <c r="H83" s="75"/>
      <c r="I83" s="23"/>
      <c r="J83" s="75"/>
      <c r="K83" s="75"/>
      <c r="L83" s="76" t="s">
        <v>33</v>
      </c>
      <c r="M83" s="76" t="s">
        <v>33</v>
      </c>
      <c r="N83" s="75"/>
      <c r="O83" s="75"/>
      <c r="P83" s="75"/>
      <c r="Q83" s="75"/>
      <c r="R83" s="75"/>
      <c r="S83" s="25"/>
      <c r="T83" s="26"/>
      <c r="U83" s="27" t="s">
        <v>34</v>
      </c>
      <c r="V83" s="28"/>
    </row>
    <row r="84">
      <c r="A84" s="112"/>
      <c r="B84" s="71"/>
      <c r="C84" s="72"/>
      <c r="D84" s="73"/>
      <c r="E84" s="73"/>
      <c r="F84" s="29" t="s">
        <v>31</v>
      </c>
      <c r="G84" s="30"/>
      <c r="H84" s="75"/>
      <c r="I84" s="23"/>
      <c r="J84" s="75"/>
      <c r="K84" s="75"/>
      <c r="L84" s="78">
        <f>VLOOKUP(L83,RECOVERY!$AA$8:$AP$10,10,FALSE)</f>
        <v>1.25</v>
      </c>
      <c r="M84" s="78">
        <f>VLOOKUP(M83,RECOVERY!$AA$27:$AP$29,10,FALSE)</f>
        <v>0.75</v>
      </c>
      <c r="N84" s="78">
        <v>-1.5</v>
      </c>
      <c r="O84" s="78">
        <v>0.0</v>
      </c>
      <c r="P84" s="78">
        <v>1.5</v>
      </c>
      <c r="Q84" s="75"/>
      <c r="R84" s="78" t="s">
        <v>35</v>
      </c>
      <c r="S84" s="25"/>
      <c r="T84" s="27">
        <v>0.1</v>
      </c>
      <c r="U84" s="27">
        <v>1.33</v>
      </c>
      <c r="V84" s="31">
        <v>-1.23</v>
      </c>
    </row>
    <row r="85">
      <c r="A85" s="112"/>
      <c r="B85" s="79" t="s">
        <v>8</v>
      </c>
      <c r="C85" s="80"/>
      <c r="D85" s="81" t="s">
        <v>36</v>
      </c>
      <c r="E85" s="82" t="s">
        <v>37</v>
      </c>
      <c r="F85" s="29" t="str">
        <f>F75</f>
        <v>100/100</v>
      </c>
      <c r="G85" s="30" t="s">
        <v>38</v>
      </c>
      <c r="H85" s="83" t="s">
        <v>39</v>
      </c>
      <c r="I85" s="36" t="s">
        <v>40</v>
      </c>
      <c r="J85" s="83" t="s">
        <v>41</v>
      </c>
      <c r="K85" s="83" t="s">
        <v>42</v>
      </c>
      <c r="L85" s="83" t="s">
        <v>43</v>
      </c>
      <c r="M85" s="83" t="s">
        <v>44</v>
      </c>
      <c r="N85" s="83" t="s">
        <v>45</v>
      </c>
      <c r="O85" s="83" t="s">
        <v>46</v>
      </c>
      <c r="P85" s="83" t="s">
        <v>47</v>
      </c>
      <c r="Q85" s="84" t="s">
        <v>48</v>
      </c>
      <c r="R85" s="36" t="s">
        <v>49</v>
      </c>
      <c r="S85" s="30" t="s">
        <v>50</v>
      </c>
      <c r="T85" s="37" t="s">
        <v>51</v>
      </c>
      <c r="U85" s="37" t="s">
        <v>45</v>
      </c>
      <c r="V85" s="38" t="s">
        <v>47</v>
      </c>
    </row>
    <row r="86">
      <c r="A86" s="112"/>
      <c r="B86" s="85" t="s">
        <v>20</v>
      </c>
      <c r="C86" s="86" t="s">
        <v>52</v>
      </c>
      <c r="D86" s="21">
        <f>D76-10</f>
        <v>100</v>
      </c>
      <c r="E86" s="87">
        <f t="shared" ref="E86:E91" si="28">D86+F86</f>
        <v>100</v>
      </c>
      <c r="F86" s="42"/>
      <c r="G86" s="30">
        <f>G76</f>
        <v>40</v>
      </c>
      <c r="H86" s="62">
        <f>$G$6+(E86/2)+$AB$6+(Z86/2)+$L$2</f>
        <v>120</v>
      </c>
      <c r="I86" s="30">
        <f>1-(E87/1000)</f>
        <v>0.73</v>
      </c>
      <c r="J86" s="88">
        <f>ROUND(POWER(E86/100,0.5),3)</f>
        <v>1</v>
      </c>
      <c r="K86" s="62">
        <f>(G88*J86*I86*N82)</f>
        <v>10.22</v>
      </c>
      <c r="L86" s="62">
        <f>1+(L84-1)*(1-E90/500)</f>
        <v>1.225</v>
      </c>
      <c r="M86" s="44">
        <f>M84+((1-M84)*0.5*E90/400)</f>
        <v>0.765625</v>
      </c>
      <c r="N86" s="62">
        <f>(E89+(Q86*N84))/1.3</f>
        <v>23.80769231</v>
      </c>
      <c r="O86" s="62">
        <f t="shared" ref="O86:P86" si="26">(D89+(P86*O84))/1.3</f>
        <v>26.92307692</v>
      </c>
      <c r="P86" s="62">
        <f t="shared" si="26"/>
        <v>30.03846154</v>
      </c>
      <c r="Q86" s="88">
        <f>3*(E88/100)</f>
        <v>2.7</v>
      </c>
      <c r="R86" s="62">
        <f>E88*1*(VLOOKUP(B86,SPIN!$M$27:$N$40,2,FALSE))</f>
        <v>6300</v>
      </c>
      <c r="S86" s="30">
        <f>E88*2*3.14/60</f>
        <v>9.42</v>
      </c>
      <c r="T86" s="45">
        <f t="shared" ref="T86:V86" si="27">$S86*T84*8</f>
        <v>7.536</v>
      </c>
      <c r="U86" s="45">
        <f t="shared" si="27"/>
        <v>100.2288</v>
      </c>
      <c r="V86" s="46">
        <f t="shared" si="27"/>
        <v>-92.6928</v>
      </c>
    </row>
    <row r="87">
      <c r="A87" s="112"/>
      <c r="B87" s="89"/>
      <c r="C87" s="86" t="s">
        <v>54</v>
      </c>
      <c r="D87" s="21">
        <f>D77+5</f>
        <v>270</v>
      </c>
      <c r="E87" s="87">
        <f t="shared" si="28"/>
        <v>270</v>
      </c>
      <c r="F87" s="42"/>
      <c r="G87" s="30" t="s">
        <v>55</v>
      </c>
      <c r="H87" s="75"/>
      <c r="I87" s="23"/>
      <c r="J87" s="75"/>
      <c r="K87" s="75"/>
      <c r="L87" s="75"/>
      <c r="M87" s="75"/>
      <c r="N87" s="75"/>
      <c r="O87" s="75"/>
      <c r="P87" s="75"/>
      <c r="Q87" s="75"/>
      <c r="R87" s="75"/>
      <c r="S87" s="23"/>
      <c r="T87" s="27"/>
      <c r="U87" s="27"/>
      <c r="V87" s="31"/>
    </row>
    <row r="88">
      <c r="A88" s="112"/>
      <c r="B88" s="89"/>
      <c r="C88" s="86" t="s">
        <v>57</v>
      </c>
      <c r="D88" s="21">
        <v>90.0</v>
      </c>
      <c r="E88" s="87">
        <f t="shared" si="28"/>
        <v>90</v>
      </c>
      <c r="F88" s="42"/>
      <c r="G88" s="30">
        <f>G78</f>
        <v>14</v>
      </c>
      <c r="H88" s="75"/>
      <c r="I88" s="23"/>
      <c r="J88" s="75"/>
      <c r="K88" s="75"/>
      <c r="L88" s="75"/>
      <c r="M88" s="75"/>
      <c r="N88" s="75"/>
      <c r="O88" s="75"/>
      <c r="P88" s="75"/>
      <c r="Q88" s="75"/>
      <c r="R88" s="75"/>
      <c r="S88" s="23"/>
      <c r="T88" s="27"/>
      <c r="U88" s="27"/>
      <c r="V88" s="31"/>
    </row>
    <row r="89">
      <c r="A89" s="112"/>
      <c r="B89" s="89"/>
      <c r="C89" s="86" t="s">
        <v>59</v>
      </c>
      <c r="D89" s="48">
        <f>'DEFAULT CLUBS-COMMON'!D89</f>
        <v>35</v>
      </c>
      <c r="E89" s="87">
        <f t="shared" si="28"/>
        <v>35</v>
      </c>
      <c r="F89" s="49"/>
      <c r="G89" s="50"/>
      <c r="H89" s="75"/>
      <c r="I89" s="23"/>
      <c r="J89" s="75"/>
      <c r="K89" s="75"/>
      <c r="L89" s="75"/>
      <c r="M89" s="75"/>
      <c r="N89" s="75"/>
      <c r="O89" s="75"/>
      <c r="P89" s="75"/>
      <c r="Q89" s="75"/>
      <c r="R89" s="75"/>
      <c r="S89" s="23"/>
      <c r="T89" s="27"/>
      <c r="U89" s="27"/>
      <c r="V89" s="31"/>
    </row>
    <row r="90">
      <c r="A90" s="112"/>
      <c r="B90" s="89"/>
      <c r="C90" s="86" t="s">
        <v>61</v>
      </c>
      <c r="D90" s="59">
        <f>D100</f>
        <v>50</v>
      </c>
      <c r="E90" s="87">
        <f t="shared" si="28"/>
        <v>50</v>
      </c>
      <c r="F90" s="42"/>
      <c r="G90" s="50"/>
      <c r="H90" s="75"/>
      <c r="I90" s="23"/>
      <c r="J90" s="75"/>
      <c r="K90" s="75"/>
      <c r="L90" s="75"/>
      <c r="M90" s="75"/>
      <c r="N90" s="75"/>
      <c r="O90" s="75"/>
      <c r="P90" s="75"/>
      <c r="Q90" s="75"/>
      <c r="R90" s="75"/>
      <c r="S90" s="23"/>
      <c r="T90" s="27"/>
      <c r="U90" s="27"/>
      <c r="V90" s="31"/>
    </row>
    <row r="91">
      <c r="A91" s="112"/>
      <c r="B91" s="90"/>
      <c r="C91" s="91" t="s">
        <v>62</v>
      </c>
      <c r="D91" s="60">
        <f>D81</f>
        <v>200</v>
      </c>
      <c r="E91" s="92">
        <f t="shared" si="28"/>
        <v>200</v>
      </c>
      <c r="F91" s="61"/>
      <c r="G91" s="55"/>
      <c r="H91" s="93"/>
      <c r="I91" s="56"/>
      <c r="J91" s="93"/>
      <c r="K91" s="93"/>
      <c r="L91" s="93"/>
      <c r="M91" s="93"/>
      <c r="N91" s="93"/>
      <c r="O91" s="93"/>
      <c r="P91" s="93"/>
      <c r="Q91" s="93"/>
      <c r="R91" s="93"/>
      <c r="S91" s="56"/>
      <c r="T91" s="57"/>
      <c r="U91" s="57"/>
      <c r="V91" s="58"/>
    </row>
    <row r="92">
      <c r="A92" s="112"/>
      <c r="B92" s="64"/>
      <c r="C92" s="65"/>
      <c r="D92" s="66"/>
      <c r="E92" s="66"/>
      <c r="F92" s="12"/>
      <c r="G92" s="13"/>
      <c r="H92" s="68" t="s">
        <v>27</v>
      </c>
      <c r="I92" s="14"/>
      <c r="J92" s="68"/>
      <c r="K92" s="68" t="s">
        <v>28</v>
      </c>
      <c r="L92" s="69">
        <f>RANDBETWEEN(0,3)</f>
        <v>2</v>
      </c>
      <c r="M92" s="68" t="s">
        <v>29</v>
      </c>
      <c r="N92" s="70">
        <v>1.0</v>
      </c>
      <c r="O92" s="68"/>
      <c r="P92" s="68"/>
      <c r="Q92" s="68"/>
      <c r="R92" s="68"/>
      <c r="S92" s="16"/>
      <c r="T92" s="17"/>
      <c r="U92" s="17"/>
      <c r="V92" s="18"/>
    </row>
    <row r="93">
      <c r="A93" s="112"/>
      <c r="B93" s="71"/>
      <c r="C93" s="72"/>
      <c r="D93" s="73"/>
      <c r="E93" s="73"/>
      <c r="F93" s="21"/>
      <c r="G93" s="22"/>
      <c r="H93" s="75"/>
      <c r="I93" s="23"/>
      <c r="J93" s="75"/>
      <c r="K93" s="75"/>
      <c r="L93" s="76" t="s">
        <v>33</v>
      </c>
      <c r="M93" s="76" t="s">
        <v>33</v>
      </c>
      <c r="N93" s="75"/>
      <c r="O93" s="75"/>
      <c r="P93" s="75"/>
      <c r="Q93" s="75"/>
      <c r="R93" s="75"/>
      <c r="S93" s="25"/>
      <c r="T93" s="26"/>
      <c r="U93" s="27" t="s">
        <v>34</v>
      </c>
      <c r="V93" s="28"/>
    </row>
    <row r="94">
      <c r="A94" s="112"/>
      <c r="B94" s="71"/>
      <c r="C94" s="72"/>
      <c r="D94" s="73"/>
      <c r="E94" s="73"/>
      <c r="F94" s="29" t="s">
        <v>31</v>
      </c>
      <c r="G94" s="30"/>
      <c r="H94" s="75"/>
      <c r="I94" s="23"/>
      <c r="J94" s="75"/>
      <c r="K94" s="75"/>
      <c r="L94" s="78">
        <f>VLOOKUP(L93,RECOVERY!$AA$8:$AP$10,11,FALSE)</f>
        <v>1.2</v>
      </c>
      <c r="M94" s="78">
        <f>VLOOKUP(M93,RECOVERY!$AA$27:$AP$29,11,FALSE)</f>
        <v>0.75</v>
      </c>
      <c r="N94" s="78">
        <v>-1.5</v>
      </c>
      <c r="O94" s="78">
        <v>0.0</v>
      </c>
      <c r="P94" s="78">
        <v>1.5</v>
      </c>
      <c r="Q94" s="75"/>
      <c r="R94" s="78" t="s">
        <v>35</v>
      </c>
      <c r="S94" s="25"/>
      <c r="T94" s="27">
        <v>0.1</v>
      </c>
      <c r="U94" s="27">
        <v>1.33</v>
      </c>
      <c r="V94" s="31">
        <v>-1.23</v>
      </c>
    </row>
    <row r="95">
      <c r="A95" s="112"/>
      <c r="B95" s="79" t="s">
        <v>8</v>
      </c>
      <c r="C95" s="80"/>
      <c r="D95" s="81" t="s">
        <v>36</v>
      </c>
      <c r="E95" s="82" t="s">
        <v>37</v>
      </c>
      <c r="F95" s="29" t="str">
        <f>F85</f>
        <v>100/100</v>
      </c>
      <c r="G95" s="30" t="s">
        <v>38</v>
      </c>
      <c r="H95" s="83" t="s">
        <v>39</v>
      </c>
      <c r="I95" s="36" t="s">
        <v>40</v>
      </c>
      <c r="J95" s="83" t="s">
        <v>41</v>
      </c>
      <c r="K95" s="83" t="s">
        <v>42</v>
      </c>
      <c r="L95" s="83" t="s">
        <v>43</v>
      </c>
      <c r="M95" s="83" t="s">
        <v>44</v>
      </c>
      <c r="N95" s="83" t="s">
        <v>45</v>
      </c>
      <c r="O95" s="83" t="s">
        <v>46</v>
      </c>
      <c r="P95" s="83" t="s">
        <v>47</v>
      </c>
      <c r="Q95" s="84" t="s">
        <v>48</v>
      </c>
      <c r="R95" s="36" t="s">
        <v>49</v>
      </c>
      <c r="S95" s="30" t="s">
        <v>50</v>
      </c>
      <c r="T95" s="37" t="s">
        <v>51</v>
      </c>
      <c r="U95" s="37" t="s">
        <v>45</v>
      </c>
      <c r="V95" s="38" t="s">
        <v>47</v>
      </c>
    </row>
    <row r="96">
      <c r="A96" s="112"/>
      <c r="B96" s="85" t="s">
        <v>21</v>
      </c>
      <c r="C96" s="86" t="s">
        <v>52</v>
      </c>
      <c r="D96" s="21">
        <f>D86-10</f>
        <v>90</v>
      </c>
      <c r="E96" s="87">
        <f t="shared" ref="E96:E101" si="31">D96+F96</f>
        <v>90</v>
      </c>
      <c r="F96" s="42"/>
      <c r="G96" s="30">
        <f>G86</f>
        <v>40</v>
      </c>
      <c r="H96" s="62">
        <f>$G$6+(E96/2)+$AB$6+(Z96/2)+$L$2</f>
        <v>115</v>
      </c>
      <c r="I96" s="30">
        <f>1-(E97/1000)</f>
        <v>0.73</v>
      </c>
      <c r="J96" s="88">
        <f>ROUND(POWER(E96/100,0.5),3)</f>
        <v>0.949</v>
      </c>
      <c r="K96" s="62">
        <f>(G98*J96*I96*N92)</f>
        <v>9.69878</v>
      </c>
      <c r="L96" s="62">
        <f>1+(L94-1)*(1-E100/500)</f>
        <v>1.18</v>
      </c>
      <c r="M96" s="44">
        <f>M94+((1-M94)*0.5*E100/400)</f>
        <v>0.765625</v>
      </c>
      <c r="N96" s="62">
        <f>(E99+(Q96*N94))/1.3</f>
        <v>25.94230769</v>
      </c>
      <c r="O96" s="62">
        <f t="shared" ref="O96:P96" si="29">(D99+(P96*O94))/1.3</f>
        <v>29.23076923</v>
      </c>
      <c r="P96" s="62">
        <f t="shared" si="29"/>
        <v>32.51923077</v>
      </c>
      <c r="Q96" s="88">
        <f>3*(E98/100)</f>
        <v>2.85</v>
      </c>
      <c r="R96" s="62">
        <f>E98*1*(VLOOKUP(B96,SPIN!$M$27:$N$40,2,FALSE))</f>
        <v>7600</v>
      </c>
      <c r="S96" s="30">
        <f>E98*2*3.14/60</f>
        <v>9.943333333</v>
      </c>
      <c r="T96" s="45">
        <f t="shared" ref="T96:V96" si="30">$S96*T94*8</f>
        <v>7.954666667</v>
      </c>
      <c r="U96" s="45">
        <f t="shared" si="30"/>
        <v>105.7970667</v>
      </c>
      <c r="V96" s="46">
        <f t="shared" si="30"/>
        <v>-97.8424</v>
      </c>
    </row>
    <row r="97">
      <c r="A97" s="112"/>
      <c r="B97" s="89"/>
      <c r="C97" s="86" t="s">
        <v>54</v>
      </c>
      <c r="D97" s="21">
        <f>D87</f>
        <v>270</v>
      </c>
      <c r="E97" s="87">
        <f t="shared" si="31"/>
        <v>270</v>
      </c>
      <c r="F97" s="42"/>
      <c r="G97" s="30" t="s">
        <v>55</v>
      </c>
      <c r="H97" s="75"/>
      <c r="I97" s="23"/>
      <c r="J97" s="75"/>
      <c r="K97" s="75"/>
      <c r="L97" s="75"/>
      <c r="M97" s="75"/>
      <c r="N97" s="75"/>
      <c r="O97" s="75"/>
      <c r="P97" s="75"/>
      <c r="Q97" s="75"/>
      <c r="R97" s="75"/>
      <c r="S97" s="23"/>
      <c r="T97" s="27"/>
      <c r="U97" s="27"/>
      <c r="V97" s="31"/>
    </row>
    <row r="98">
      <c r="A98" s="112"/>
      <c r="B98" s="89"/>
      <c r="C98" s="86" t="s">
        <v>57</v>
      </c>
      <c r="D98" s="21">
        <v>95.0</v>
      </c>
      <c r="E98" s="87">
        <f t="shared" si="31"/>
        <v>95</v>
      </c>
      <c r="F98" s="42"/>
      <c r="G98" s="30">
        <f>G88</f>
        <v>14</v>
      </c>
      <c r="H98" s="75"/>
      <c r="I98" s="23"/>
      <c r="J98" s="75"/>
      <c r="K98" s="75"/>
      <c r="L98" s="75"/>
      <c r="M98" s="75"/>
      <c r="N98" s="75"/>
      <c r="O98" s="75"/>
      <c r="P98" s="75"/>
      <c r="Q98" s="75"/>
      <c r="R98" s="75"/>
      <c r="S98" s="23"/>
      <c r="T98" s="27"/>
      <c r="U98" s="27"/>
      <c r="V98" s="31"/>
    </row>
    <row r="99">
      <c r="A99" s="112"/>
      <c r="B99" s="89"/>
      <c r="C99" s="86" t="s">
        <v>59</v>
      </c>
      <c r="D99" s="48">
        <f>'DEFAULT CLUBS-COMMON'!D99</f>
        <v>38</v>
      </c>
      <c r="E99" s="87">
        <f t="shared" si="31"/>
        <v>38</v>
      </c>
      <c r="F99" s="49"/>
      <c r="G99" s="50"/>
      <c r="H99" s="75"/>
      <c r="I99" s="23"/>
      <c r="J99" s="75"/>
      <c r="K99" s="75"/>
      <c r="L99" s="75"/>
      <c r="M99" s="75"/>
      <c r="N99" s="75"/>
      <c r="O99" s="75"/>
      <c r="P99" s="75"/>
      <c r="Q99" s="75"/>
      <c r="R99" s="75"/>
      <c r="S99" s="23"/>
      <c r="T99" s="27"/>
      <c r="U99" s="27"/>
      <c r="V99" s="31"/>
    </row>
    <row r="100">
      <c r="A100" s="112"/>
      <c r="B100" s="89"/>
      <c r="C100" s="86" t="s">
        <v>61</v>
      </c>
      <c r="D100" s="59">
        <f>D110</f>
        <v>50</v>
      </c>
      <c r="E100" s="87">
        <f t="shared" si="31"/>
        <v>50</v>
      </c>
      <c r="F100" s="42"/>
      <c r="G100" s="50"/>
      <c r="H100" s="75"/>
      <c r="I100" s="23"/>
      <c r="J100" s="75"/>
      <c r="K100" s="75"/>
      <c r="L100" s="75"/>
      <c r="M100" s="75"/>
      <c r="N100" s="75"/>
      <c r="O100" s="75"/>
      <c r="P100" s="75"/>
      <c r="Q100" s="75"/>
      <c r="R100" s="75"/>
      <c r="S100" s="23"/>
      <c r="T100" s="27"/>
      <c r="U100" s="27"/>
      <c r="V100" s="31"/>
    </row>
    <row r="101">
      <c r="A101" s="112"/>
      <c r="B101" s="90"/>
      <c r="C101" s="91" t="s">
        <v>62</v>
      </c>
      <c r="D101" s="60">
        <f>D91</f>
        <v>200</v>
      </c>
      <c r="E101" s="92">
        <f t="shared" si="31"/>
        <v>200</v>
      </c>
      <c r="F101" s="61"/>
      <c r="G101" s="55"/>
      <c r="H101" s="93"/>
      <c r="I101" s="56"/>
      <c r="J101" s="93"/>
      <c r="K101" s="93"/>
      <c r="L101" s="93"/>
      <c r="M101" s="93"/>
      <c r="N101" s="93"/>
      <c r="O101" s="93"/>
      <c r="P101" s="93"/>
      <c r="Q101" s="93"/>
      <c r="R101" s="93"/>
      <c r="S101" s="56"/>
      <c r="T101" s="57"/>
      <c r="U101" s="57"/>
      <c r="V101" s="58"/>
    </row>
    <row r="102">
      <c r="A102" s="112"/>
      <c r="B102" s="64"/>
      <c r="C102" s="65"/>
      <c r="D102" s="66"/>
      <c r="E102" s="66"/>
      <c r="F102" s="12"/>
      <c r="G102" s="13"/>
      <c r="H102" s="68" t="s">
        <v>27</v>
      </c>
      <c r="I102" s="14"/>
      <c r="J102" s="68"/>
      <c r="K102" s="68" t="s">
        <v>28</v>
      </c>
      <c r="L102" s="69">
        <f>RANDBETWEEN(0,3)</f>
        <v>0</v>
      </c>
      <c r="M102" s="68" t="s">
        <v>29</v>
      </c>
      <c r="N102" s="70">
        <v>1.0</v>
      </c>
      <c r="O102" s="68"/>
      <c r="P102" s="68"/>
      <c r="Q102" s="68"/>
      <c r="R102" s="68"/>
      <c r="S102" s="16"/>
      <c r="T102" s="17"/>
      <c r="U102" s="17"/>
      <c r="V102" s="18"/>
    </row>
    <row r="103">
      <c r="A103" s="112"/>
      <c r="B103" s="71"/>
      <c r="C103" s="72"/>
      <c r="D103" s="73"/>
      <c r="E103" s="73"/>
      <c r="F103" s="21"/>
      <c r="G103" s="22"/>
      <c r="H103" s="75"/>
      <c r="I103" s="23"/>
      <c r="J103" s="75"/>
      <c r="K103" s="75"/>
      <c r="L103" s="76" t="s">
        <v>33</v>
      </c>
      <c r="M103" s="76" t="s">
        <v>33</v>
      </c>
      <c r="N103" s="75"/>
      <c r="O103" s="75"/>
      <c r="P103" s="75"/>
      <c r="Q103" s="75"/>
      <c r="R103" s="75"/>
      <c r="S103" s="25"/>
      <c r="T103" s="26"/>
      <c r="U103" s="27" t="s">
        <v>34</v>
      </c>
      <c r="V103" s="28"/>
    </row>
    <row r="104">
      <c r="A104" s="112"/>
      <c r="B104" s="71"/>
      <c r="C104" s="72"/>
      <c r="D104" s="73"/>
      <c r="E104" s="73"/>
      <c r="F104" s="29" t="s">
        <v>31</v>
      </c>
      <c r="G104" s="30"/>
      <c r="H104" s="75"/>
      <c r="I104" s="23"/>
      <c r="J104" s="75"/>
      <c r="K104" s="75"/>
      <c r="L104" s="78">
        <f>VLOOKUP(L103,RECOVERY!$AA$8:$AP$10,12,FALSE)</f>
        <v>1.2</v>
      </c>
      <c r="M104" s="78">
        <f>VLOOKUP(M103,RECOVERY!$AA$27:$AP$29,12,FALSE)</f>
        <v>0.75</v>
      </c>
      <c r="N104" s="78">
        <v>-1.5</v>
      </c>
      <c r="O104" s="78">
        <v>0.0</v>
      </c>
      <c r="P104" s="78">
        <v>1.5</v>
      </c>
      <c r="Q104" s="75"/>
      <c r="R104" s="78" t="s">
        <v>35</v>
      </c>
      <c r="S104" s="25"/>
      <c r="T104" s="27">
        <v>0.1</v>
      </c>
      <c r="U104" s="27">
        <v>1.33</v>
      </c>
      <c r="V104" s="31">
        <v>-1.23</v>
      </c>
    </row>
    <row r="105">
      <c r="A105" s="112"/>
      <c r="B105" s="79" t="s">
        <v>8</v>
      </c>
      <c r="C105" s="80"/>
      <c r="D105" s="81" t="s">
        <v>36</v>
      </c>
      <c r="E105" s="82" t="s">
        <v>37</v>
      </c>
      <c r="F105" s="29" t="str">
        <f>F95</f>
        <v>100/100</v>
      </c>
      <c r="G105" s="30" t="s">
        <v>38</v>
      </c>
      <c r="H105" s="83" t="s">
        <v>39</v>
      </c>
      <c r="I105" s="36" t="s">
        <v>40</v>
      </c>
      <c r="J105" s="83" t="s">
        <v>41</v>
      </c>
      <c r="K105" s="83" t="s">
        <v>42</v>
      </c>
      <c r="L105" s="83" t="s">
        <v>43</v>
      </c>
      <c r="M105" s="83" t="s">
        <v>44</v>
      </c>
      <c r="N105" s="83" t="s">
        <v>45</v>
      </c>
      <c r="O105" s="83" t="s">
        <v>46</v>
      </c>
      <c r="P105" s="83" t="s">
        <v>47</v>
      </c>
      <c r="Q105" s="84" t="s">
        <v>48</v>
      </c>
      <c r="R105" s="36" t="s">
        <v>49</v>
      </c>
      <c r="S105" s="30" t="s">
        <v>50</v>
      </c>
      <c r="T105" s="37" t="s">
        <v>51</v>
      </c>
      <c r="U105" s="37" t="s">
        <v>45</v>
      </c>
      <c r="V105" s="38" t="s">
        <v>47</v>
      </c>
    </row>
    <row r="106">
      <c r="A106" s="112"/>
      <c r="B106" s="85" t="s">
        <v>22</v>
      </c>
      <c r="C106" s="86" t="s">
        <v>52</v>
      </c>
      <c r="D106" s="21">
        <f>D96</f>
        <v>90</v>
      </c>
      <c r="E106" s="87">
        <f t="shared" ref="E106:E111" si="34">D106+F106</f>
        <v>90</v>
      </c>
      <c r="F106" s="42"/>
      <c r="G106" s="30">
        <f>G96</f>
        <v>40</v>
      </c>
      <c r="H106" s="62">
        <f>$G$6+(E106/2)+$AB$6+(Z106/2)+$L$2</f>
        <v>115</v>
      </c>
      <c r="I106" s="30">
        <f>1-(E107/1000)</f>
        <v>0.725</v>
      </c>
      <c r="J106" s="88">
        <f>ROUND(POWER(E106/100,0.5),3)</f>
        <v>0.949</v>
      </c>
      <c r="K106" s="62">
        <f>(G108*J106*I106*N102)</f>
        <v>9.63235</v>
      </c>
      <c r="L106" s="62">
        <f>1+(L104-1)*(1-E110/500)</f>
        <v>1.18</v>
      </c>
      <c r="M106" s="44">
        <f>M104+((1-M104)*0.5*E110/400)</f>
        <v>0.765625</v>
      </c>
      <c r="N106" s="62">
        <f>(E109+(Q106*N104))/1.3</f>
        <v>29.01923077</v>
      </c>
      <c r="O106" s="62">
        <f t="shared" ref="O106:P106" si="32">(D109+(P106*O104))/1.3</f>
        <v>32.30769231</v>
      </c>
      <c r="P106" s="62">
        <f t="shared" si="32"/>
        <v>35.59615385</v>
      </c>
      <c r="Q106" s="88">
        <f>3*(E108/100)</f>
        <v>2.85</v>
      </c>
      <c r="R106" s="62">
        <f>E108*1*(VLOOKUP(B106,SPIN!$M$27:$N$40,2,FALSE))</f>
        <v>7600</v>
      </c>
      <c r="S106" s="30">
        <f>E108*2*3.14/60</f>
        <v>9.943333333</v>
      </c>
      <c r="T106" s="45">
        <f t="shared" ref="T106:V106" si="33">$S106*T104*8</f>
        <v>7.954666667</v>
      </c>
      <c r="U106" s="45">
        <f t="shared" si="33"/>
        <v>105.7970667</v>
      </c>
      <c r="V106" s="46">
        <f t="shared" si="33"/>
        <v>-97.8424</v>
      </c>
    </row>
    <row r="107">
      <c r="A107" s="112"/>
      <c r="B107" s="89"/>
      <c r="C107" s="86" t="s">
        <v>54</v>
      </c>
      <c r="D107" s="21">
        <f>D97+5</f>
        <v>275</v>
      </c>
      <c r="E107" s="87">
        <f t="shared" si="34"/>
        <v>275</v>
      </c>
      <c r="F107" s="42"/>
      <c r="G107" s="30" t="s">
        <v>55</v>
      </c>
      <c r="H107" s="75"/>
      <c r="I107" s="23"/>
      <c r="J107" s="75"/>
      <c r="K107" s="75"/>
      <c r="L107" s="75"/>
      <c r="M107" s="75"/>
      <c r="N107" s="75"/>
      <c r="O107" s="75"/>
      <c r="P107" s="75"/>
      <c r="Q107" s="75"/>
      <c r="R107" s="75"/>
      <c r="S107" s="23"/>
      <c r="T107" s="27"/>
      <c r="U107" s="27"/>
      <c r="V107" s="31"/>
    </row>
    <row r="108">
      <c r="A108" s="112"/>
      <c r="B108" s="89"/>
      <c r="C108" s="86" t="s">
        <v>57</v>
      </c>
      <c r="D108" s="21">
        <v>95.0</v>
      </c>
      <c r="E108" s="87">
        <f t="shared" si="34"/>
        <v>95</v>
      </c>
      <c r="F108" s="42"/>
      <c r="G108" s="30">
        <f>G98</f>
        <v>14</v>
      </c>
      <c r="H108" s="75"/>
      <c r="I108" s="23"/>
      <c r="J108" s="75"/>
      <c r="K108" s="75"/>
      <c r="L108" s="75"/>
      <c r="M108" s="75"/>
      <c r="N108" s="75"/>
      <c r="O108" s="75"/>
      <c r="P108" s="75"/>
      <c r="Q108" s="75"/>
      <c r="R108" s="75"/>
      <c r="S108" s="23"/>
      <c r="T108" s="27"/>
      <c r="U108" s="27"/>
      <c r="V108" s="31"/>
    </row>
    <row r="109">
      <c r="A109" s="112"/>
      <c r="B109" s="89"/>
      <c r="C109" s="86" t="s">
        <v>59</v>
      </c>
      <c r="D109" s="48">
        <f>'DEFAULT CLUBS-COMMON'!D109</f>
        <v>42</v>
      </c>
      <c r="E109" s="87">
        <f t="shared" si="34"/>
        <v>42</v>
      </c>
      <c r="F109" s="49"/>
      <c r="G109" s="50"/>
      <c r="H109" s="75"/>
      <c r="I109" s="23"/>
      <c r="J109" s="75"/>
      <c r="K109" s="75"/>
      <c r="L109" s="75"/>
      <c r="M109" s="75"/>
      <c r="N109" s="75"/>
      <c r="O109" s="75"/>
      <c r="P109" s="75"/>
      <c r="Q109" s="75"/>
      <c r="R109" s="75"/>
      <c r="S109" s="23"/>
      <c r="T109" s="27"/>
      <c r="U109" s="27"/>
      <c r="V109" s="31"/>
    </row>
    <row r="110">
      <c r="A110" s="112"/>
      <c r="B110" s="89"/>
      <c r="C110" s="86" t="s">
        <v>61</v>
      </c>
      <c r="D110" s="59">
        <f>D120-20</f>
        <v>50</v>
      </c>
      <c r="E110" s="87">
        <f t="shared" si="34"/>
        <v>50</v>
      </c>
      <c r="F110" s="42"/>
      <c r="G110" s="50"/>
      <c r="H110" s="75"/>
      <c r="I110" s="23"/>
      <c r="J110" s="75"/>
      <c r="K110" s="75"/>
      <c r="L110" s="75"/>
      <c r="M110" s="75"/>
      <c r="N110" s="75"/>
      <c r="O110" s="75"/>
      <c r="P110" s="75"/>
      <c r="Q110" s="75"/>
      <c r="R110" s="75"/>
      <c r="S110" s="23"/>
      <c r="T110" s="27"/>
      <c r="U110" s="27"/>
      <c r="V110" s="31"/>
    </row>
    <row r="111">
      <c r="A111" s="112"/>
      <c r="B111" s="90"/>
      <c r="C111" s="91" t="s">
        <v>62</v>
      </c>
      <c r="D111" s="60">
        <f>D101</f>
        <v>200</v>
      </c>
      <c r="E111" s="92">
        <f t="shared" si="34"/>
        <v>200</v>
      </c>
      <c r="F111" s="61"/>
      <c r="G111" s="55"/>
      <c r="H111" s="93"/>
      <c r="I111" s="56"/>
      <c r="J111" s="93"/>
      <c r="K111" s="93"/>
      <c r="L111" s="93"/>
      <c r="M111" s="93"/>
      <c r="N111" s="93"/>
      <c r="O111" s="93"/>
      <c r="P111" s="93"/>
      <c r="Q111" s="93"/>
      <c r="R111" s="93"/>
      <c r="S111" s="56"/>
      <c r="T111" s="57"/>
      <c r="U111" s="57"/>
      <c r="V111" s="58"/>
    </row>
    <row r="112">
      <c r="A112" s="112"/>
      <c r="B112" s="64"/>
      <c r="C112" s="65"/>
      <c r="D112" s="66"/>
      <c r="E112" s="66"/>
      <c r="F112" s="12"/>
      <c r="G112" s="13"/>
      <c r="H112" s="68" t="s">
        <v>27</v>
      </c>
      <c r="I112" s="14"/>
      <c r="J112" s="68"/>
      <c r="K112" s="68" t="s">
        <v>28</v>
      </c>
      <c r="L112" s="69">
        <f>RANDBETWEEN(0,3)</f>
        <v>3</v>
      </c>
      <c r="M112" s="68" t="s">
        <v>29</v>
      </c>
      <c r="N112" s="70">
        <v>1.0</v>
      </c>
      <c r="O112" s="68"/>
      <c r="P112" s="68"/>
      <c r="Q112" s="68"/>
      <c r="R112" s="68"/>
      <c r="S112" s="16"/>
      <c r="T112" s="17"/>
      <c r="U112" s="17"/>
      <c r="V112" s="18"/>
    </row>
    <row r="113">
      <c r="A113" s="112"/>
      <c r="B113" s="71"/>
      <c r="C113" s="72"/>
      <c r="D113" s="73"/>
      <c r="E113" s="73"/>
      <c r="F113" s="21"/>
      <c r="G113" s="22"/>
      <c r="H113" s="75"/>
      <c r="I113" s="23"/>
      <c r="J113" s="75"/>
      <c r="K113" s="75"/>
      <c r="L113" s="76" t="s">
        <v>33</v>
      </c>
      <c r="M113" s="76" t="s">
        <v>33</v>
      </c>
      <c r="N113" s="75"/>
      <c r="O113" s="75"/>
      <c r="P113" s="75"/>
      <c r="Q113" s="75"/>
      <c r="R113" s="75"/>
      <c r="S113" s="25"/>
      <c r="T113" s="26"/>
      <c r="U113" s="27" t="s">
        <v>34</v>
      </c>
      <c r="V113" s="28"/>
    </row>
    <row r="114">
      <c r="A114" s="112"/>
      <c r="B114" s="71"/>
      <c r="C114" s="72"/>
      <c r="D114" s="73"/>
      <c r="E114" s="73"/>
      <c r="F114" s="29" t="s">
        <v>31</v>
      </c>
      <c r="G114" s="30"/>
      <c r="H114" s="75"/>
      <c r="I114" s="23"/>
      <c r="J114" s="75"/>
      <c r="K114" s="75"/>
      <c r="L114" s="78">
        <f>VLOOKUP(L113,RECOVERY!$AA$8:$AP$10,13,FALSE)</f>
        <v>1.15</v>
      </c>
      <c r="M114" s="78">
        <f>VLOOKUP(M113,RECOVERY!$AA$27:$AP$29,13,FALSE)</f>
        <v>0.85</v>
      </c>
      <c r="N114" s="78">
        <v>-1.5</v>
      </c>
      <c r="O114" s="78">
        <v>0.0</v>
      </c>
      <c r="P114" s="78">
        <v>1.5</v>
      </c>
      <c r="Q114" s="75"/>
      <c r="R114" s="78" t="s">
        <v>35</v>
      </c>
      <c r="S114" s="25"/>
      <c r="T114" s="27">
        <v>0.1</v>
      </c>
      <c r="U114" s="27">
        <v>1.33</v>
      </c>
      <c r="V114" s="31">
        <v>-1.23</v>
      </c>
    </row>
    <row r="115">
      <c r="A115" s="112"/>
      <c r="B115" s="79" t="s">
        <v>8</v>
      </c>
      <c r="C115" s="80"/>
      <c r="D115" s="81" t="s">
        <v>36</v>
      </c>
      <c r="E115" s="82" t="s">
        <v>37</v>
      </c>
      <c r="F115" s="29" t="str">
        <f>F105</f>
        <v>100/100</v>
      </c>
      <c r="G115" s="30" t="s">
        <v>38</v>
      </c>
      <c r="H115" s="83" t="s">
        <v>39</v>
      </c>
      <c r="I115" s="36" t="s">
        <v>40</v>
      </c>
      <c r="J115" s="83" t="s">
        <v>41</v>
      </c>
      <c r="K115" s="83" t="s">
        <v>42</v>
      </c>
      <c r="L115" s="83" t="s">
        <v>43</v>
      </c>
      <c r="M115" s="83" t="s">
        <v>44</v>
      </c>
      <c r="N115" s="83" t="s">
        <v>45</v>
      </c>
      <c r="O115" s="83" t="s">
        <v>46</v>
      </c>
      <c r="P115" s="83" t="s">
        <v>47</v>
      </c>
      <c r="Q115" s="84" t="s">
        <v>48</v>
      </c>
      <c r="R115" s="36" t="s">
        <v>49</v>
      </c>
      <c r="S115" s="30" t="s">
        <v>50</v>
      </c>
      <c r="T115" s="37" t="s">
        <v>51</v>
      </c>
      <c r="U115" s="37" t="s">
        <v>45</v>
      </c>
      <c r="V115" s="38" t="s">
        <v>47</v>
      </c>
    </row>
    <row r="116">
      <c r="A116" s="112"/>
      <c r="B116" s="85" t="s">
        <v>64</v>
      </c>
      <c r="C116" s="86" t="s">
        <v>52</v>
      </c>
      <c r="D116" s="21">
        <f t="shared" ref="D116:D117" si="37">D106</f>
        <v>90</v>
      </c>
      <c r="E116" s="87">
        <f t="shared" ref="E116:E121" si="38">D116+F116</f>
        <v>90</v>
      </c>
      <c r="F116" s="42"/>
      <c r="G116" s="30">
        <f>G106</f>
        <v>40</v>
      </c>
      <c r="H116" s="62">
        <f>$G$6+(E116/2)+$AB$6+(Z116/2)+$L$2</f>
        <v>115</v>
      </c>
      <c r="I116" s="30">
        <f>1-(E117/1000)</f>
        <v>0.725</v>
      </c>
      <c r="J116" s="88">
        <f>ROUND(POWER(E116/100,0.5),3)</f>
        <v>0.949</v>
      </c>
      <c r="K116" s="62">
        <f>(G118*J116*I116*N112)</f>
        <v>9.63235</v>
      </c>
      <c r="L116" s="62">
        <f>1+(L114-1)*(1-E120/500)</f>
        <v>1.129</v>
      </c>
      <c r="M116" s="44">
        <f>M114+((1-M114)*0.5*E120/400)</f>
        <v>0.863125</v>
      </c>
      <c r="N116" s="62">
        <f>(E119+(Q116*N114))/1.3</f>
        <v>31.15384615</v>
      </c>
      <c r="O116" s="62">
        <f t="shared" ref="O116:P116" si="35">(D119+(P116*O114))/1.3</f>
        <v>34.61538462</v>
      </c>
      <c r="P116" s="62">
        <f t="shared" si="35"/>
        <v>38.07692308</v>
      </c>
      <c r="Q116" s="88">
        <f>3*(E118/100)</f>
        <v>3</v>
      </c>
      <c r="R116" s="62">
        <f>E118*1*(VLOOKUP(B116,SPIN!$M$27:$N$40,2,FALSE))</f>
        <v>9000</v>
      </c>
      <c r="S116" s="30">
        <f>E118*2*3.14/60</f>
        <v>10.46666667</v>
      </c>
      <c r="T116" s="45">
        <f t="shared" ref="T116:V116" si="36">$S116*T114*8</f>
        <v>8.373333333</v>
      </c>
      <c r="U116" s="45">
        <f t="shared" si="36"/>
        <v>111.3653333</v>
      </c>
      <c r="V116" s="46">
        <f t="shared" si="36"/>
        <v>-102.992</v>
      </c>
    </row>
    <row r="117">
      <c r="A117" s="112"/>
      <c r="B117" s="89"/>
      <c r="C117" s="86" t="s">
        <v>54</v>
      </c>
      <c r="D117" s="21">
        <f t="shared" si="37"/>
        <v>275</v>
      </c>
      <c r="E117" s="87">
        <f t="shared" si="38"/>
        <v>275</v>
      </c>
      <c r="F117" s="42"/>
      <c r="G117" s="30" t="s">
        <v>55</v>
      </c>
      <c r="H117" s="75"/>
      <c r="I117" s="23"/>
      <c r="J117" s="75"/>
      <c r="K117" s="75"/>
      <c r="L117" s="75"/>
      <c r="M117" s="75"/>
      <c r="N117" s="75"/>
      <c r="O117" s="75"/>
      <c r="P117" s="75"/>
      <c r="Q117" s="75"/>
      <c r="R117" s="75"/>
      <c r="S117" s="23"/>
      <c r="T117" s="27"/>
      <c r="U117" s="27"/>
      <c r="V117" s="31"/>
    </row>
    <row r="118">
      <c r="A118" s="112"/>
      <c r="B118" s="89"/>
      <c r="C118" s="86" t="s">
        <v>57</v>
      </c>
      <c r="D118" s="21">
        <v>100.0</v>
      </c>
      <c r="E118" s="87">
        <f t="shared" si="38"/>
        <v>100</v>
      </c>
      <c r="F118" s="42"/>
      <c r="G118" s="30">
        <f>G108</f>
        <v>14</v>
      </c>
      <c r="H118" s="75"/>
      <c r="I118" s="23"/>
      <c r="J118" s="75"/>
      <c r="K118" s="75"/>
      <c r="L118" s="75"/>
      <c r="M118" s="75"/>
      <c r="N118" s="75"/>
      <c r="O118" s="75"/>
      <c r="P118" s="75"/>
      <c r="Q118" s="75"/>
      <c r="R118" s="75"/>
      <c r="S118" s="23"/>
      <c r="T118" s="27"/>
      <c r="U118" s="27"/>
      <c r="V118" s="31"/>
    </row>
    <row r="119">
      <c r="A119" s="112"/>
      <c r="B119" s="89"/>
      <c r="C119" s="86" t="s">
        <v>59</v>
      </c>
      <c r="D119" s="48">
        <f>'DEFAULT CLUBS-COMMON'!D119</f>
        <v>45</v>
      </c>
      <c r="E119" s="87">
        <f t="shared" si="38"/>
        <v>45</v>
      </c>
      <c r="F119" s="49"/>
      <c r="G119" s="50"/>
      <c r="H119" s="75"/>
      <c r="I119" s="23"/>
      <c r="J119" s="75"/>
      <c r="K119" s="75"/>
      <c r="L119" s="75"/>
      <c r="M119" s="75"/>
      <c r="N119" s="75"/>
      <c r="O119" s="75"/>
      <c r="P119" s="75"/>
      <c r="Q119" s="75"/>
      <c r="R119" s="75"/>
      <c r="S119" s="23"/>
      <c r="T119" s="27"/>
      <c r="U119" s="27"/>
      <c r="V119" s="31"/>
    </row>
    <row r="120">
      <c r="A120" s="112"/>
      <c r="B120" s="89"/>
      <c r="C120" s="86" t="s">
        <v>61</v>
      </c>
      <c r="D120" s="59">
        <f>D130</f>
        <v>70</v>
      </c>
      <c r="E120" s="87">
        <f t="shared" si="38"/>
        <v>70</v>
      </c>
      <c r="F120" s="42"/>
      <c r="G120" s="50"/>
      <c r="H120" s="75"/>
      <c r="I120" s="23"/>
      <c r="J120" s="75"/>
      <c r="K120" s="75"/>
      <c r="L120" s="75"/>
      <c r="M120" s="75"/>
      <c r="N120" s="75"/>
      <c r="O120" s="75"/>
      <c r="P120" s="75"/>
      <c r="Q120" s="75"/>
      <c r="R120" s="75"/>
      <c r="S120" s="23"/>
      <c r="T120" s="27"/>
      <c r="U120" s="27"/>
      <c r="V120" s="31"/>
    </row>
    <row r="121">
      <c r="A121" s="112"/>
      <c r="B121" s="90"/>
      <c r="C121" s="91" t="s">
        <v>62</v>
      </c>
      <c r="D121" s="60">
        <f>D111</f>
        <v>200</v>
      </c>
      <c r="E121" s="92">
        <f t="shared" si="38"/>
        <v>200</v>
      </c>
      <c r="F121" s="61"/>
      <c r="G121" s="55"/>
      <c r="H121" s="93"/>
      <c r="I121" s="56"/>
      <c r="J121" s="93"/>
      <c r="K121" s="93"/>
      <c r="L121" s="93"/>
      <c r="M121" s="93"/>
      <c r="N121" s="93"/>
      <c r="O121" s="93"/>
      <c r="P121" s="93"/>
      <c r="Q121" s="93"/>
      <c r="R121" s="93"/>
      <c r="S121" s="56"/>
      <c r="T121" s="57"/>
      <c r="U121" s="57"/>
      <c r="V121" s="58"/>
    </row>
    <row r="122">
      <c r="A122" s="112"/>
      <c r="B122" s="64"/>
      <c r="C122" s="65"/>
      <c r="D122" s="66"/>
      <c r="E122" s="66"/>
      <c r="F122" s="12"/>
      <c r="G122" s="13"/>
      <c r="H122" s="68" t="s">
        <v>27</v>
      </c>
      <c r="I122" s="14"/>
      <c r="J122" s="68"/>
      <c r="K122" s="68" t="s">
        <v>28</v>
      </c>
      <c r="L122" s="69">
        <f>RANDBETWEEN(0,3)</f>
        <v>2</v>
      </c>
      <c r="M122" s="68" t="s">
        <v>29</v>
      </c>
      <c r="N122" s="70">
        <v>1.0</v>
      </c>
      <c r="O122" s="68"/>
      <c r="P122" s="68"/>
      <c r="Q122" s="68"/>
      <c r="R122" s="68"/>
      <c r="S122" s="16"/>
      <c r="T122" s="17"/>
      <c r="U122" s="17"/>
      <c r="V122" s="18"/>
    </row>
    <row r="123">
      <c r="A123" s="112"/>
      <c r="B123" s="71"/>
      <c r="C123" s="72"/>
      <c r="D123" s="73"/>
      <c r="E123" s="73"/>
      <c r="F123" s="21"/>
      <c r="G123" s="22"/>
      <c r="H123" s="75"/>
      <c r="I123" s="23"/>
      <c r="J123" s="75"/>
      <c r="K123" s="75"/>
      <c r="L123" s="76" t="s">
        <v>33</v>
      </c>
      <c r="M123" s="76" t="s">
        <v>33</v>
      </c>
      <c r="N123" s="75"/>
      <c r="O123" s="75"/>
      <c r="P123" s="75"/>
      <c r="Q123" s="75"/>
      <c r="R123" s="75"/>
      <c r="S123" s="25"/>
      <c r="T123" s="26"/>
      <c r="U123" s="27" t="s">
        <v>34</v>
      </c>
      <c r="V123" s="28"/>
    </row>
    <row r="124">
      <c r="A124" s="112"/>
      <c r="B124" s="71"/>
      <c r="C124" s="72"/>
      <c r="D124" s="73"/>
      <c r="E124" s="73"/>
      <c r="F124" s="29" t="s">
        <v>31</v>
      </c>
      <c r="G124" s="30"/>
      <c r="H124" s="75"/>
      <c r="I124" s="23"/>
      <c r="J124" s="75"/>
      <c r="K124" s="75"/>
      <c r="L124" s="78">
        <f>VLOOKUP(L123,RECOVERY!$AA$8:$AP$10,14,FALSE)</f>
        <v>1.15</v>
      </c>
      <c r="M124" s="78">
        <f>VLOOKUP(M123,RECOVERY!$AA$27:$AP$29,14,FALSE)</f>
        <v>0.85</v>
      </c>
      <c r="N124" s="78">
        <v>-1.5</v>
      </c>
      <c r="O124" s="78">
        <v>0.0</v>
      </c>
      <c r="P124" s="78">
        <v>1.5</v>
      </c>
      <c r="Q124" s="75"/>
      <c r="R124" s="78" t="s">
        <v>35</v>
      </c>
      <c r="S124" s="25"/>
      <c r="T124" s="27">
        <v>0.1</v>
      </c>
      <c r="U124" s="27">
        <v>1.33</v>
      </c>
      <c r="V124" s="31">
        <v>-1.23</v>
      </c>
    </row>
    <row r="125">
      <c r="A125" s="112"/>
      <c r="B125" s="79" t="s">
        <v>8</v>
      </c>
      <c r="C125" s="80"/>
      <c r="D125" s="81" t="s">
        <v>36</v>
      </c>
      <c r="E125" s="82" t="s">
        <v>37</v>
      </c>
      <c r="F125" s="29" t="str">
        <f>F115</f>
        <v>100/100</v>
      </c>
      <c r="G125" s="30" t="s">
        <v>38</v>
      </c>
      <c r="H125" s="83" t="s">
        <v>39</v>
      </c>
      <c r="I125" s="36" t="s">
        <v>40</v>
      </c>
      <c r="J125" s="83" t="s">
        <v>41</v>
      </c>
      <c r="K125" s="83" t="s">
        <v>42</v>
      </c>
      <c r="L125" s="83" t="s">
        <v>43</v>
      </c>
      <c r="M125" s="83" t="s">
        <v>44</v>
      </c>
      <c r="N125" s="83" t="s">
        <v>45</v>
      </c>
      <c r="O125" s="83" t="s">
        <v>46</v>
      </c>
      <c r="P125" s="83" t="s">
        <v>47</v>
      </c>
      <c r="Q125" s="84" t="s">
        <v>48</v>
      </c>
      <c r="R125" s="36" t="s">
        <v>49</v>
      </c>
      <c r="S125" s="30" t="s">
        <v>50</v>
      </c>
      <c r="T125" s="37" t="s">
        <v>51</v>
      </c>
      <c r="U125" s="37" t="s">
        <v>45</v>
      </c>
      <c r="V125" s="38" t="s">
        <v>47</v>
      </c>
    </row>
    <row r="126">
      <c r="A126" s="112"/>
      <c r="B126" s="85" t="s">
        <v>65</v>
      </c>
      <c r="C126" s="86" t="s">
        <v>52</v>
      </c>
      <c r="D126" s="21">
        <f>D116</f>
        <v>90</v>
      </c>
      <c r="E126" s="87">
        <f t="shared" ref="E126:E131" si="41">D126+F126</f>
        <v>90</v>
      </c>
      <c r="F126" s="42"/>
      <c r="G126" s="30">
        <f>G116</f>
        <v>40</v>
      </c>
      <c r="H126" s="62">
        <f>$G$6+(E126/2)+$AB$6+(Z126/2)+$L$2</f>
        <v>115</v>
      </c>
      <c r="I126" s="30">
        <f>1-(E127/1000)</f>
        <v>0.72</v>
      </c>
      <c r="J126" s="88">
        <f>ROUND(POWER(E126/100,0.5),3)</f>
        <v>0.949</v>
      </c>
      <c r="K126" s="62">
        <f>(G128*J126*I126*N122)</f>
        <v>9.56592</v>
      </c>
      <c r="L126" s="62">
        <f>1+(L124-1)*(1-E130/500)</f>
        <v>1.129</v>
      </c>
      <c r="M126" s="44">
        <f>M124+((1-M124)*0.5*E130/400)</f>
        <v>0.863125</v>
      </c>
      <c r="N126" s="62">
        <f>(E129+(Q126*N124))/1.3</f>
        <v>30.98076923</v>
      </c>
      <c r="O126" s="62">
        <f t="shared" ref="O126:P126" si="39">(D129+(P126*O124))/1.3</f>
        <v>34.61538462</v>
      </c>
      <c r="P126" s="62">
        <f t="shared" si="39"/>
        <v>38.25</v>
      </c>
      <c r="Q126" s="88">
        <f>3*(E128/100)</f>
        <v>3.15</v>
      </c>
      <c r="R126" s="62">
        <f>E128*1*(VLOOKUP(B126,SPIN!$M$27:$N$40,2,FALSE))</f>
        <v>9450</v>
      </c>
      <c r="S126" s="30">
        <f>E128*2*3.14/60</f>
        <v>10.99</v>
      </c>
      <c r="T126" s="45">
        <f t="shared" ref="T126:V126" si="40">$S126*T124*8</f>
        <v>8.792</v>
      </c>
      <c r="U126" s="45">
        <f t="shared" si="40"/>
        <v>116.9336</v>
      </c>
      <c r="V126" s="46">
        <f t="shared" si="40"/>
        <v>-108.1416</v>
      </c>
    </row>
    <row r="127">
      <c r="A127" s="112"/>
      <c r="B127" s="89"/>
      <c r="C127" s="86" t="s">
        <v>54</v>
      </c>
      <c r="D127" s="21">
        <f>D117+5</f>
        <v>280</v>
      </c>
      <c r="E127" s="87">
        <f t="shared" si="41"/>
        <v>280</v>
      </c>
      <c r="F127" s="42"/>
      <c r="G127" s="30" t="s">
        <v>55</v>
      </c>
      <c r="H127" s="75"/>
      <c r="I127" s="23"/>
      <c r="J127" s="75"/>
      <c r="K127" s="75"/>
      <c r="L127" s="75"/>
      <c r="M127" s="75"/>
      <c r="N127" s="75"/>
      <c r="O127" s="75"/>
      <c r="P127" s="75"/>
      <c r="Q127" s="75"/>
      <c r="R127" s="75"/>
      <c r="S127" s="23"/>
      <c r="T127" s="27"/>
      <c r="U127" s="27"/>
      <c r="V127" s="31"/>
    </row>
    <row r="128">
      <c r="A128" s="112"/>
      <c r="B128" s="89"/>
      <c r="C128" s="86" t="s">
        <v>57</v>
      </c>
      <c r="D128" s="21">
        <v>105.0</v>
      </c>
      <c r="E128" s="87">
        <f t="shared" si="41"/>
        <v>105</v>
      </c>
      <c r="F128" s="42"/>
      <c r="G128" s="30">
        <f>G118</f>
        <v>14</v>
      </c>
      <c r="H128" s="75"/>
      <c r="I128" s="23"/>
      <c r="J128" s="75"/>
      <c r="K128" s="75"/>
      <c r="L128" s="75"/>
      <c r="M128" s="75"/>
      <c r="N128" s="75"/>
      <c r="O128" s="75"/>
      <c r="P128" s="75"/>
      <c r="Q128" s="75"/>
      <c r="R128" s="75"/>
      <c r="S128" s="23"/>
      <c r="T128" s="27"/>
      <c r="U128" s="27"/>
      <c r="V128" s="31"/>
    </row>
    <row r="129">
      <c r="A129" s="112"/>
      <c r="B129" s="89"/>
      <c r="C129" s="86" t="s">
        <v>59</v>
      </c>
      <c r="D129" s="48">
        <f>'DEFAULT CLUBS-COMMON'!D129</f>
        <v>45</v>
      </c>
      <c r="E129" s="87">
        <f t="shared" si="41"/>
        <v>45</v>
      </c>
      <c r="F129" s="49"/>
      <c r="G129" s="50"/>
      <c r="H129" s="75"/>
      <c r="I129" s="23"/>
      <c r="J129" s="75"/>
      <c r="K129" s="75"/>
      <c r="L129" s="75"/>
      <c r="M129" s="75"/>
      <c r="N129" s="75"/>
      <c r="O129" s="75"/>
      <c r="P129" s="75"/>
      <c r="Q129" s="75"/>
      <c r="R129" s="75"/>
      <c r="S129" s="23"/>
      <c r="T129" s="27"/>
      <c r="U129" s="27"/>
      <c r="V129" s="31"/>
    </row>
    <row r="130">
      <c r="A130" s="112"/>
      <c r="B130" s="89"/>
      <c r="C130" s="86" t="s">
        <v>61</v>
      </c>
      <c r="D130" s="59">
        <f>D140</f>
        <v>70</v>
      </c>
      <c r="E130" s="87">
        <f t="shared" si="41"/>
        <v>70</v>
      </c>
      <c r="F130" s="42"/>
      <c r="G130" s="50"/>
      <c r="H130" s="75"/>
      <c r="I130" s="23"/>
      <c r="J130" s="75"/>
      <c r="K130" s="75"/>
      <c r="L130" s="75"/>
      <c r="M130" s="75"/>
      <c r="N130" s="75"/>
      <c r="O130" s="75"/>
      <c r="P130" s="75"/>
      <c r="Q130" s="75"/>
      <c r="R130" s="75"/>
      <c r="S130" s="23"/>
      <c r="T130" s="27"/>
      <c r="U130" s="27"/>
      <c r="V130" s="31"/>
    </row>
    <row r="131">
      <c r="A131" s="112"/>
      <c r="B131" s="90"/>
      <c r="C131" s="91" t="s">
        <v>62</v>
      </c>
      <c r="D131" s="60">
        <f>D121</f>
        <v>200</v>
      </c>
      <c r="E131" s="92">
        <f t="shared" si="41"/>
        <v>200</v>
      </c>
      <c r="F131" s="61"/>
      <c r="G131" s="55"/>
      <c r="H131" s="93"/>
      <c r="I131" s="56"/>
      <c r="J131" s="93"/>
      <c r="K131" s="93"/>
      <c r="L131" s="93"/>
      <c r="M131" s="93"/>
      <c r="N131" s="93"/>
      <c r="O131" s="93"/>
      <c r="P131" s="93"/>
      <c r="Q131" s="93"/>
      <c r="R131" s="93"/>
      <c r="S131" s="56"/>
      <c r="T131" s="57"/>
      <c r="U131" s="57"/>
      <c r="V131" s="58"/>
    </row>
    <row r="132">
      <c r="A132" s="112"/>
      <c r="B132" s="64"/>
      <c r="C132" s="65"/>
      <c r="D132" s="66"/>
      <c r="E132" s="66"/>
      <c r="F132" s="12"/>
      <c r="G132" s="13"/>
      <c r="H132" s="68" t="s">
        <v>27</v>
      </c>
      <c r="I132" s="14"/>
      <c r="J132" s="68"/>
      <c r="K132" s="68" t="s">
        <v>28</v>
      </c>
      <c r="L132" s="69">
        <f>RANDBETWEEN(0,3)</f>
        <v>2</v>
      </c>
      <c r="M132" s="68" t="s">
        <v>29</v>
      </c>
      <c r="N132" s="105">
        <v>1.0</v>
      </c>
      <c r="O132" s="68"/>
      <c r="P132" s="68"/>
      <c r="Q132" s="68"/>
      <c r="R132" s="68"/>
      <c r="S132" s="16"/>
      <c r="T132" s="17"/>
      <c r="U132" s="17"/>
      <c r="V132" s="18"/>
    </row>
    <row r="133">
      <c r="A133" s="112"/>
      <c r="B133" s="71"/>
      <c r="C133" s="72"/>
      <c r="D133" s="73"/>
      <c r="E133" s="73"/>
      <c r="F133" s="21"/>
      <c r="G133" s="22"/>
      <c r="H133" s="75"/>
      <c r="I133" s="23"/>
      <c r="J133" s="75"/>
      <c r="K133" s="75"/>
      <c r="L133" s="76" t="s">
        <v>33</v>
      </c>
      <c r="M133" s="76" t="s">
        <v>33</v>
      </c>
      <c r="N133" s="75"/>
      <c r="O133" s="75"/>
      <c r="P133" s="75"/>
      <c r="Q133" s="75"/>
      <c r="R133" s="75"/>
      <c r="S133" s="25"/>
      <c r="T133" s="26"/>
      <c r="U133" s="27" t="s">
        <v>34</v>
      </c>
      <c r="V133" s="28"/>
    </row>
    <row r="134">
      <c r="A134" s="112"/>
      <c r="B134" s="71"/>
      <c r="C134" s="72"/>
      <c r="D134" s="73"/>
      <c r="E134" s="73"/>
      <c r="F134" s="29" t="s">
        <v>31</v>
      </c>
      <c r="G134" s="30"/>
      <c r="H134" s="75"/>
      <c r="I134" s="23"/>
      <c r="J134" s="75"/>
      <c r="K134" s="75"/>
      <c r="L134" s="78">
        <f>VLOOKUP(L133,RECOVERY!$AA$8:$AP$10,15,FALSE)</f>
        <v>1.15</v>
      </c>
      <c r="M134" s="78">
        <f>VLOOKUP(M133,RECOVERY!$AA$27:$AP$29,15,FALSE)</f>
        <v>0.85</v>
      </c>
      <c r="N134" s="78">
        <v>-1.5</v>
      </c>
      <c r="O134" s="78">
        <v>0.0</v>
      </c>
      <c r="P134" s="78">
        <v>1.5</v>
      </c>
      <c r="Q134" s="75"/>
      <c r="R134" s="78" t="s">
        <v>35</v>
      </c>
      <c r="S134" s="25"/>
      <c r="T134" s="27">
        <v>0.1</v>
      </c>
      <c r="U134" s="27">
        <v>1.33</v>
      </c>
      <c r="V134" s="31">
        <v>-1.23</v>
      </c>
    </row>
    <row r="135">
      <c r="A135" s="112"/>
      <c r="B135" s="79" t="s">
        <v>8</v>
      </c>
      <c r="C135" s="80"/>
      <c r="D135" s="81" t="s">
        <v>36</v>
      </c>
      <c r="E135" s="82" t="s">
        <v>37</v>
      </c>
      <c r="F135" s="29" t="str">
        <f>F125</f>
        <v>100/100</v>
      </c>
      <c r="G135" s="30" t="s">
        <v>38</v>
      </c>
      <c r="H135" s="83" t="s">
        <v>39</v>
      </c>
      <c r="I135" s="36" t="s">
        <v>40</v>
      </c>
      <c r="J135" s="83" t="s">
        <v>41</v>
      </c>
      <c r="K135" s="83" t="s">
        <v>42</v>
      </c>
      <c r="L135" s="83" t="s">
        <v>43</v>
      </c>
      <c r="M135" s="83" t="s">
        <v>44</v>
      </c>
      <c r="N135" s="83" t="s">
        <v>45</v>
      </c>
      <c r="O135" s="83" t="s">
        <v>46</v>
      </c>
      <c r="P135" s="83" t="s">
        <v>47</v>
      </c>
      <c r="Q135" s="84" t="s">
        <v>48</v>
      </c>
      <c r="R135" s="36" t="s">
        <v>49</v>
      </c>
      <c r="S135" s="30" t="s">
        <v>50</v>
      </c>
      <c r="T135" s="37" t="s">
        <v>51</v>
      </c>
      <c r="U135" s="37" t="s">
        <v>45</v>
      </c>
      <c r="V135" s="38" t="s">
        <v>47</v>
      </c>
    </row>
    <row r="136">
      <c r="A136" s="112"/>
      <c r="B136" s="85" t="s">
        <v>66</v>
      </c>
      <c r="C136" s="86" t="s">
        <v>52</v>
      </c>
      <c r="D136" s="21">
        <f t="shared" ref="D136:D137" si="44">D126</f>
        <v>90</v>
      </c>
      <c r="E136" s="87">
        <f t="shared" ref="E136:E141" si="45">D136+F136</f>
        <v>90</v>
      </c>
      <c r="F136" s="42"/>
      <c r="G136" s="30">
        <f>G126</f>
        <v>40</v>
      </c>
      <c r="H136" s="62">
        <f>$G$6+(E136/2)+$AB$6+(Z136/2)+$L$2</f>
        <v>115</v>
      </c>
      <c r="I136" s="30">
        <f>1-(E137/1000)</f>
        <v>0.72</v>
      </c>
      <c r="J136" s="88">
        <f>ROUND(POWER(E136/100,0.5),3)</f>
        <v>0.949</v>
      </c>
      <c r="K136" s="62">
        <f>(G138*J136*I136*N132)</f>
        <v>9.56592</v>
      </c>
      <c r="L136" s="62">
        <f>1+(L134-1)*(1-E140/500)</f>
        <v>1.129</v>
      </c>
      <c r="M136" s="44">
        <f>M134+((1-M134)*0.5*E140/400)</f>
        <v>0.863125</v>
      </c>
      <c r="N136" s="62">
        <f>(E139+(Q136*N134))/1.3</f>
        <v>37.73076923</v>
      </c>
      <c r="O136" s="62">
        <f t="shared" ref="O136:P136" si="42">(D139+(P136*O134))/1.3</f>
        <v>41.53846154</v>
      </c>
      <c r="P136" s="62">
        <f t="shared" si="42"/>
        <v>45.34615385</v>
      </c>
      <c r="Q136" s="88">
        <f>3*(E138/100)</f>
        <v>3.3</v>
      </c>
      <c r="R136" s="62">
        <f>E138*1*(VLOOKUP(B136,SPIN!$M$27:$N$40,2,FALSE))</f>
        <v>9900</v>
      </c>
      <c r="S136" s="30">
        <f>E138*2*3.14/60</f>
        <v>11.51333333</v>
      </c>
      <c r="T136" s="45">
        <f t="shared" ref="T136:V136" si="43">$S136*T134*8</f>
        <v>9.210666667</v>
      </c>
      <c r="U136" s="45">
        <f t="shared" si="43"/>
        <v>122.5018667</v>
      </c>
      <c r="V136" s="46">
        <f t="shared" si="43"/>
        <v>-113.2912</v>
      </c>
    </row>
    <row r="137">
      <c r="A137" s="112"/>
      <c r="B137" s="89"/>
      <c r="C137" s="86" t="s">
        <v>54</v>
      </c>
      <c r="D137" s="21">
        <f t="shared" si="44"/>
        <v>280</v>
      </c>
      <c r="E137" s="87">
        <f t="shared" si="45"/>
        <v>280</v>
      </c>
      <c r="F137" s="42"/>
      <c r="G137" s="30" t="s">
        <v>55</v>
      </c>
      <c r="H137" s="75"/>
      <c r="I137" s="23"/>
      <c r="J137" s="75"/>
      <c r="K137" s="75"/>
      <c r="L137" s="75"/>
      <c r="M137" s="75"/>
      <c r="N137" s="75"/>
      <c r="O137" s="75"/>
      <c r="P137" s="75"/>
      <c r="Q137" s="75"/>
      <c r="R137" s="75"/>
      <c r="S137" s="23"/>
      <c r="T137" s="27"/>
      <c r="U137" s="27"/>
      <c r="V137" s="31"/>
    </row>
    <row r="138">
      <c r="A138" s="112"/>
      <c r="B138" s="89"/>
      <c r="C138" s="86" t="s">
        <v>57</v>
      </c>
      <c r="D138" s="21">
        <v>110.0</v>
      </c>
      <c r="E138" s="87">
        <f t="shared" si="45"/>
        <v>110</v>
      </c>
      <c r="F138" s="42"/>
      <c r="G138" s="30">
        <f>G128</f>
        <v>14</v>
      </c>
      <c r="H138" s="75"/>
      <c r="I138" s="23"/>
      <c r="J138" s="75"/>
      <c r="K138" s="75"/>
      <c r="L138" s="75"/>
      <c r="M138" s="75"/>
      <c r="N138" s="75"/>
      <c r="O138" s="75"/>
      <c r="P138" s="75"/>
      <c r="Q138" s="75"/>
      <c r="R138" s="75"/>
      <c r="S138" s="23"/>
      <c r="T138" s="27"/>
      <c r="U138" s="27"/>
      <c r="V138" s="31"/>
    </row>
    <row r="139">
      <c r="A139" s="112"/>
      <c r="B139" s="89"/>
      <c r="C139" s="86" t="s">
        <v>59</v>
      </c>
      <c r="D139" s="48">
        <f>'DEFAULT CLUBS-COMMON'!D139</f>
        <v>54</v>
      </c>
      <c r="E139" s="87">
        <f t="shared" si="45"/>
        <v>54</v>
      </c>
      <c r="F139" s="49"/>
      <c r="G139" s="50"/>
      <c r="H139" s="75"/>
      <c r="I139" s="23"/>
      <c r="J139" s="75"/>
      <c r="K139" s="75"/>
      <c r="L139" s="75"/>
      <c r="M139" s="75"/>
      <c r="N139" s="75"/>
      <c r="O139" s="75"/>
      <c r="P139" s="75"/>
      <c r="Q139" s="75"/>
      <c r="R139" s="75"/>
      <c r="S139" s="23"/>
      <c r="T139" s="27"/>
      <c r="U139" s="27"/>
      <c r="V139" s="31"/>
    </row>
    <row r="140">
      <c r="A140" s="112"/>
      <c r="B140" s="89"/>
      <c r="C140" s="86" t="s">
        <v>61</v>
      </c>
      <c r="D140" s="59">
        <v>70.0</v>
      </c>
      <c r="E140" s="87">
        <f t="shared" si="45"/>
        <v>70</v>
      </c>
      <c r="F140" s="42"/>
      <c r="G140" s="50"/>
      <c r="H140" s="75"/>
      <c r="I140" s="23"/>
      <c r="J140" s="75"/>
      <c r="K140" s="75"/>
      <c r="L140" s="75"/>
      <c r="M140" s="75"/>
      <c r="N140" s="75"/>
      <c r="O140" s="75"/>
      <c r="P140" s="75"/>
      <c r="Q140" s="75"/>
      <c r="R140" s="75"/>
      <c r="S140" s="23"/>
      <c r="T140" s="27"/>
      <c r="U140" s="27"/>
      <c r="V140" s="31"/>
    </row>
    <row r="141">
      <c r="A141" s="112"/>
      <c r="B141" s="90"/>
      <c r="C141" s="91" t="s">
        <v>62</v>
      </c>
      <c r="D141" s="60">
        <f>D131</f>
        <v>200</v>
      </c>
      <c r="E141" s="92">
        <f t="shared" si="45"/>
        <v>200</v>
      </c>
      <c r="F141" s="61"/>
      <c r="G141" s="55"/>
      <c r="H141" s="93"/>
      <c r="I141" s="56"/>
      <c r="J141" s="93"/>
      <c r="K141" s="93"/>
      <c r="L141" s="93"/>
      <c r="M141" s="93"/>
      <c r="N141" s="93"/>
      <c r="O141" s="93"/>
      <c r="P141" s="93"/>
      <c r="Q141" s="93"/>
      <c r="R141" s="93"/>
      <c r="S141" s="56"/>
      <c r="T141" s="57"/>
      <c r="U141" s="57"/>
      <c r="V141" s="58"/>
    </row>
    <row r="142">
      <c r="A142" s="112"/>
      <c r="B142" s="64"/>
      <c r="C142" s="65"/>
      <c r="D142" s="66"/>
      <c r="E142" s="66"/>
      <c r="F142" s="12"/>
      <c r="G142" s="13"/>
      <c r="H142" s="68" t="s">
        <v>27</v>
      </c>
      <c r="I142" s="14"/>
      <c r="J142" s="68"/>
      <c r="K142" s="68" t="s">
        <v>28</v>
      </c>
      <c r="L142" s="69">
        <f>RANDBETWEEN(0,3)</f>
        <v>3</v>
      </c>
      <c r="M142" s="68" t="s">
        <v>29</v>
      </c>
      <c r="N142" s="70">
        <v>1.0</v>
      </c>
      <c r="O142" s="68"/>
      <c r="P142" s="68"/>
      <c r="Q142" s="68"/>
      <c r="R142" s="68"/>
      <c r="S142" s="16"/>
      <c r="T142" s="17"/>
      <c r="U142" s="17"/>
      <c r="V142" s="18"/>
    </row>
    <row r="143">
      <c r="A143" s="112"/>
      <c r="B143" s="71"/>
      <c r="C143" s="72"/>
      <c r="D143" s="73"/>
      <c r="E143" s="73"/>
      <c r="F143" s="21"/>
      <c r="G143" s="22"/>
      <c r="H143" s="75"/>
      <c r="I143" s="23"/>
      <c r="J143" s="75"/>
      <c r="K143" s="75"/>
      <c r="L143" s="76" t="s">
        <v>33</v>
      </c>
      <c r="M143" s="76" t="s">
        <v>33</v>
      </c>
      <c r="N143" s="75"/>
      <c r="O143" s="75"/>
      <c r="P143" s="75"/>
      <c r="Q143" s="75"/>
      <c r="R143" s="75"/>
      <c r="S143" s="25"/>
      <c r="T143" s="26"/>
      <c r="U143" s="27" t="s">
        <v>34</v>
      </c>
      <c r="V143" s="28"/>
    </row>
    <row r="144">
      <c r="A144" s="112"/>
      <c r="B144" s="71"/>
      <c r="C144" s="72"/>
      <c r="D144" s="73"/>
      <c r="E144" s="73"/>
      <c r="F144" s="29" t="s">
        <v>31</v>
      </c>
      <c r="G144" s="30"/>
      <c r="H144" s="75"/>
      <c r="I144" s="23"/>
      <c r="J144" s="75"/>
      <c r="K144" s="75"/>
      <c r="L144" s="78">
        <f>VLOOKUP(L143,RECOVERY!$AA$8:$AP$10,2,FALSE)</f>
        <v>1.4</v>
      </c>
      <c r="M144" s="78">
        <f>VLOOKUP(M143,RECOVERY!$AA$27:$AP$29,2,FALSE)</f>
        <v>0.65</v>
      </c>
      <c r="N144" s="78">
        <v>-1.0</v>
      </c>
      <c r="O144" s="78">
        <v>0.0</v>
      </c>
      <c r="P144" s="78">
        <v>1.0</v>
      </c>
      <c r="Q144" s="75"/>
      <c r="R144" s="78" t="s">
        <v>35</v>
      </c>
      <c r="S144" s="25"/>
      <c r="T144" s="27">
        <v>0.1</v>
      </c>
      <c r="U144" s="27">
        <v>1.33</v>
      </c>
      <c r="V144" s="31">
        <v>-1.23</v>
      </c>
    </row>
    <row r="145">
      <c r="A145" s="112"/>
      <c r="B145" s="79" t="s">
        <v>8</v>
      </c>
      <c r="C145" s="80"/>
      <c r="D145" s="81" t="s">
        <v>36</v>
      </c>
      <c r="E145" s="82" t="s">
        <v>37</v>
      </c>
      <c r="F145" s="29" t="str">
        <f>F135</f>
        <v>100/100</v>
      </c>
      <c r="G145" s="30" t="s">
        <v>38</v>
      </c>
      <c r="H145" s="83" t="s">
        <v>39</v>
      </c>
      <c r="I145" s="36" t="s">
        <v>40</v>
      </c>
      <c r="J145" s="83" t="s">
        <v>41</v>
      </c>
      <c r="K145" s="83" t="s">
        <v>42</v>
      </c>
      <c r="L145" s="83" t="s">
        <v>43</v>
      </c>
      <c r="M145" s="83" t="s">
        <v>44</v>
      </c>
      <c r="N145" s="83" t="s">
        <v>45</v>
      </c>
      <c r="O145" s="83" t="s">
        <v>46</v>
      </c>
      <c r="P145" s="83" t="s">
        <v>47</v>
      </c>
      <c r="Q145" s="84" t="s">
        <v>48</v>
      </c>
      <c r="R145" s="36" t="s">
        <v>49</v>
      </c>
      <c r="S145" s="30" t="s">
        <v>50</v>
      </c>
      <c r="T145" s="37" t="s">
        <v>51</v>
      </c>
      <c r="U145" s="37" t="s">
        <v>45</v>
      </c>
      <c r="V145" s="38" t="s">
        <v>47</v>
      </c>
    </row>
    <row r="146">
      <c r="A146" s="112"/>
      <c r="B146" s="85" t="s">
        <v>67</v>
      </c>
      <c r="C146" s="86" t="s">
        <v>52</v>
      </c>
      <c r="D146" s="59">
        <v>19.0</v>
      </c>
      <c r="E146" s="87">
        <f t="shared" ref="E146:E151" si="47">D146+F146</f>
        <v>19</v>
      </c>
      <c r="F146" s="42"/>
      <c r="G146" s="30">
        <v>32.0</v>
      </c>
      <c r="H146" s="99">
        <f>E146</f>
        <v>19</v>
      </c>
      <c r="I146" s="30">
        <f>1-(E147/1000)</f>
        <v>0.715</v>
      </c>
      <c r="J146" s="88">
        <f>ROUND(POWER(E146/100,0.5),3)</f>
        <v>0.436</v>
      </c>
      <c r="K146" s="62">
        <f>(G148*J146*I146*N142)</f>
        <v>1.24696</v>
      </c>
      <c r="L146" s="99" t="s">
        <v>68</v>
      </c>
      <c r="M146" s="99" t="s">
        <v>68</v>
      </c>
      <c r="N146" s="97" t="s">
        <v>68</v>
      </c>
      <c r="O146" s="111" t="str">
        <f>(D149+(P146*O144))/2</f>
        <v>#VALUE!</v>
      </c>
      <c r="P146" s="97" t="s">
        <v>68</v>
      </c>
      <c r="Q146" s="88">
        <f>3*(E148/100)</f>
        <v>0.03</v>
      </c>
      <c r="R146" s="62" t="str">
        <f>E148*1*(VLOOKUP(B146,SPIN!$M$27:$N$40,2,FALSE))</f>
        <v>#N/A</v>
      </c>
      <c r="S146" s="30">
        <f>E148*2*3.14/60</f>
        <v>0.1046666667</v>
      </c>
      <c r="T146" s="45">
        <f t="shared" ref="T146:V146" si="46">$S146*T144*8</f>
        <v>0.08373333333</v>
      </c>
      <c r="U146" s="45">
        <f t="shared" si="46"/>
        <v>1.113653333</v>
      </c>
      <c r="V146" s="46">
        <f t="shared" si="46"/>
        <v>-1.02992</v>
      </c>
    </row>
    <row r="147">
      <c r="A147" s="112"/>
      <c r="B147" s="89"/>
      <c r="C147" s="86" t="s">
        <v>54</v>
      </c>
      <c r="D147" s="21">
        <f>D137+5</f>
        <v>285</v>
      </c>
      <c r="E147" s="87">
        <f t="shared" si="47"/>
        <v>285</v>
      </c>
      <c r="F147" s="42"/>
      <c r="G147" s="30" t="s">
        <v>55</v>
      </c>
      <c r="H147" s="75"/>
      <c r="I147" s="23"/>
      <c r="J147" s="75"/>
      <c r="K147" s="75"/>
      <c r="L147" s="75"/>
      <c r="M147" s="75"/>
      <c r="N147" s="75"/>
      <c r="O147" s="75"/>
      <c r="P147" s="75"/>
      <c r="Q147" s="75"/>
      <c r="R147" s="75"/>
      <c r="S147" s="75"/>
      <c r="T147" s="100"/>
      <c r="U147" s="100"/>
      <c r="V147" s="101"/>
    </row>
    <row r="148">
      <c r="A148" s="112"/>
      <c r="B148" s="89"/>
      <c r="C148" s="86" t="s">
        <v>57</v>
      </c>
      <c r="D148" s="59">
        <v>1.0</v>
      </c>
      <c r="E148" s="87">
        <f t="shared" si="47"/>
        <v>1</v>
      </c>
      <c r="F148" s="42"/>
      <c r="G148" s="30">
        <v>4.0</v>
      </c>
      <c r="H148" s="75"/>
      <c r="I148" s="23"/>
      <c r="J148" s="75"/>
      <c r="K148" s="75"/>
      <c r="L148" s="75"/>
      <c r="M148" s="75"/>
      <c r="N148" s="75"/>
      <c r="O148" s="75"/>
      <c r="P148" s="75"/>
      <c r="Q148" s="75"/>
      <c r="R148" s="75"/>
      <c r="S148" s="75"/>
      <c r="T148" s="100"/>
      <c r="U148" s="100"/>
      <c r="V148" s="101"/>
    </row>
    <row r="149">
      <c r="A149" s="112"/>
      <c r="B149" s="89"/>
      <c r="C149" s="86" t="s">
        <v>59</v>
      </c>
      <c r="D149" s="59">
        <v>4.0</v>
      </c>
      <c r="E149" s="87">
        <f t="shared" si="47"/>
        <v>4</v>
      </c>
      <c r="F149" s="49"/>
      <c r="G149" s="50"/>
      <c r="H149" s="75"/>
      <c r="I149" s="23"/>
      <c r="J149" s="75"/>
      <c r="K149" s="75"/>
      <c r="L149" s="75"/>
      <c r="M149" s="75"/>
      <c r="N149" s="75"/>
      <c r="O149" s="75"/>
      <c r="P149" s="75"/>
      <c r="Q149" s="75"/>
      <c r="R149" s="75"/>
      <c r="S149" s="75"/>
      <c r="T149" s="100"/>
      <c r="U149" s="100"/>
      <c r="V149" s="101"/>
    </row>
    <row r="150">
      <c r="A150" s="112"/>
      <c r="B150" s="89"/>
      <c r="C150" s="86" t="s">
        <v>61</v>
      </c>
      <c r="D150" s="59">
        <v>1.0</v>
      </c>
      <c r="E150" s="87">
        <f t="shared" si="47"/>
        <v>1</v>
      </c>
      <c r="F150" s="42"/>
      <c r="G150" s="50"/>
      <c r="H150" s="75"/>
      <c r="I150" s="23"/>
      <c r="J150" s="75"/>
      <c r="K150" s="75"/>
      <c r="L150" s="75"/>
      <c r="M150" s="75"/>
      <c r="N150" s="75"/>
      <c r="O150" s="75"/>
      <c r="P150" s="75"/>
      <c r="Q150" s="75"/>
      <c r="R150" s="75"/>
      <c r="S150" s="75"/>
      <c r="T150" s="100"/>
      <c r="U150" s="100"/>
      <c r="V150" s="101"/>
    </row>
    <row r="151">
      <c r="A151" s="112"/>
      <c r="B151" s="90"/>
      <c r="C151" s="91" t="s">
        <v>62</v>
      </c>
      <c r="D151" s="60">
        <f>D141</f>
        <v>200</v>
      </c>
      <c r="E151" s="92">
        <f t="shared" si="47"/>
        <v>200</v>
      </c>
      <c r="F151" s="61"/>
      <c r="G151" s="55"/>
      <c r="H151" s="93"/>
      <c r="I151" s="56"/>
      <c r="J151" s="93"/>
      <c r="K151" s="93"/>
      <c r="L151" s="93"/>
      <c r="M151" s="93"/>
      <c r="N151" s="93"/>
      <c r="O151" s="93"/>
      <c r="P151" s="93"/>
      <c r="Q151" s="93"/>
      <c r="R151" s="93"/>
      <c r="S151" s="93"/>
      <c r="T151" s="102"/>
      <c r="U151" s="102"/>
      <c r="V151" s="103"/>
    </row>
  </sheetData>
  <dataValidations>
    <dataValidation type="list" allowBlank="1" showErrorMessage="1" sqref="N2 N12 N22 N32 N42 N52 N62 N72 N82 N92 N102 N112 N122 N132 N142">
      <formula1>"0,0.5,1"</formula1>
    </dataValidation>
    <dataValidation type="list" allowBlank="1" showErrorMessage="1" sqref="L3:M3 L13:M13 L23:M23 L33:M33 L43:M43 L53:M53 L63:M63 L73:M73 L83:M83 L93:M93 L103:M103 L113:M113 L123:M123 L133:M133 L143:M143">
      <formula1>"Rough,SemiRough,Bunker"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75"/>
  <cols>
    <col customWidth="1" min="1" max="1" width="2.88"/>
    <col customWidth="1" min="4" max="4" width="4.0"/>
    <col customWidth="1" min="6" max="6" width="11.38"/>
    <col customWidth="1" min="7" max="7" width="3.13"/>
    <col customWidth="1" min="8" max="8" width="14.63"/>
    <col customWidth="1" min="9" max="9" width="6.63"/>
    <col customWidth="1" min="10" max="10" width="5.63"/>
    <col customWidth="1" min="11" max="11" width="14.13"/>
    <col customWidth="1" min="12" max="12" width="16.13"/>
    <col customWidth="1" min="14" max="14" width="9.0"/>
    <col customWidth="1" min="15" max="16" width="10.38"/>
    <col customWidth="1" min="17" max="17" width="4.5"/>
    <col customWidth="1" min="18" max="18" width="10.38"/>
    <col customWidth="1" min="19" max="19" width="4.5"/>
    <col customWidth="1" min="20" max="22" width="10.13"/>
    <col customWidth="1" min="24" max="24" width="14.5"/>
    <col customWidth="1" min="25" max="25" width="3.88"/>
  </cols>
  <sheetData>
    <row r="2">
      <c r="A2" s="7"/>
      <c r="B2" s="10"/>
      <c r="C2" s="11"/>
      <c r="D2" s="11"/>
      <c r="E2" s="11"/>
      <c r="F2" s="12"/>
      <c r="G2" s="13"/>
      <c r="H2" s="14" t="s">
        <v>27</v>
      </c>
      <c r="I2" s="14"/>
      <c r="J2" s="14"/>
      <c r="K2" s="14" t="s">
        <v>28</v>
      </c>
      <c r="L2" s="14">
        <f>RANDBETWEEN(0,3)</f>
        <v>1</v>
      </c>
      <c r="M2" s="14" t="s">
        <v>29</v>
      </c>
      <c r="N2" s="105">
        <v>1.0</v>
      </c>
      <c r="O2" s="68"/>
      <c r="P2" s="68"/>
      <c r="Q2" s="16"/>
      <c r="R2" s="16"/>
      <c r="S2" s="16"/>
      <c r="T2" s="17"/>
      <c r="U2" s="17"/>
      <c r="V2" s="18"/>
      <c r="X2" s="3" t="s">
        <v>30</v>
      </c>
      <c r="AA2" s="3" t="s">
        <v>31</v>
      </c>
    </row>
    <row r="3">
      <c r="A3" s="7"/>
      <c r="B3" s="19"/>
      <c r="C3" s="20"/>
      <c r="D3" s="20"/>
      <c r="E3" s="20"/>
      <c r="F3" s="21"/>
      <c r="G3" s="22"/>
      <c r="H3" s="23"/>
      <c r="I3" s="23"/>
      <c r="J3" s="23"/>
      <c r="K3" s="23"/>
      <c r="L3" s="24" t="s">
        <v>33</v>
      </c>
      <c r="M3" s="24" t="s">
        <v>33</v>
      </c>
      <c r="N3" s="75"/>
      <c r="O3" s="75"/>
      <c r="P3" s="75"/>
      <c r="Q3" s="25"/>
      <c r="R3" s="25"/>
      <c r="S3" s="25"/>
      <c r="T3" s="26"/>
      <c r="U3" s="27" t="s">
        <v>34</v>
      </c>
      <c r="V3" s="28"/>
      <c r="X3" s="3"/>
      <c r="AA3" s="3"/>
    </row>
    <row r="4">
      <c r="A4" s="7"/>
      <c r="B4" s="19"/>
      <c r="C4" s="20"/>
      <c r="D4" s="20"/>
      <c r="E4" s="20"/>
      <c r="F4" s="29" t="s">
        <v>31</v>
      </c>
      <c r="G4" s="30"/>
      <c r="H4" s="23"/>
      <c r="I4" s="23"/>
      <c r="J4" s="23"/>
      <c r="K4" s="23"/>
      <c r="L4" s="25">
        <f>VLOOKUP(L3,RECOVERY!$AA$8:$AP$10,2,FALSE)</f>
        <v>1.4</v>
      </c>
      <c r="M4" s="25">
        <f>VLOOKUP(M3,RECOVERY!$AA$27:$AP$29,2,FALSE)</f>
        <v>0.65</v>
      </c>
      <c r="N4" s="106">
        <v>-1.5</v>
      </c>
      <c r="O4" s="106">
        <v>0.0</v>
      </c>
      <c r="P4" s="106">
        <v>1.5</v>
      </c>
      <c r="Q4" s="25"/>
      <c r="R4" s="23" t="s">
        <v>35</v>
      </c>
      <c r="S4" s="25"/>
      <c r="T4" s="27">
        <v>0.1</v>
      </c>
      <c r="U4" s="27">
        <v>1.33</v>
      </c>
      <c r="V4" s="31">
        <v>-1.23</v>
      </c>
      <c r="X4" s="3"/>
      <c r="AA4" s="3"/>
    </row>
    <row r="5">
      <c r="A5" s="7"/>
      <c r="B5" s="32" t="s">
        <v>9</v>
      </c>
      <c r="C5" s="33"/>
      <c r="D5" s="21" t="s">
        <v>36</v>
      </c>
      <c r="E5" s="34" t="s">
        <v>37</v>
      </c>
      <c r="F5" s="29" t="str">
        <f>SUM(F6:F11)&amp;"/160"</f>
        <v>0/160</v>
      </c>
      <c r="G5" s="30" t="s">
        <v>38</v>
      </c>
      <c r="H5" s="36" t="s">
        <v>39</v>
      </c>
      <c r="I5" s="36" t="s">
        <v>40</v>
      </c>
      <c r="J5" s="36" t="s">
        <v>41</v>
      </c>
      <c r="K5" s="36" t="s">
        <v>42</v>
      </c>
      <c r="L5" s="36" t="s">
        <v>43</v>
      </c>
      <c r="M5" s="36" t="s">
        <v>44</v>
      </c>
      <c r="N5" s="107" t="s">
        <v>45</v>
      </c>
      <c r="O5" s="107" t="s">
        <v>46</v>
      </c>
      <c r="P5" s="107" t="s">
        <v>47</v>
      </c>
      <c r="Q5" s="30" t="s">
        <v>48</v>
      </c>
      <c r="R5" s="36" t="s">
        <v>49</v>
      </c>
      <c r="S5" s="30" t="s">
        <v>50</v>
      </c>
      <c r="T5" s="37" t="s">
        <v>51</v>
      </c>
      <c r="U5" s="37" t="s">
        <v>45</v>
      </c>
      <c r="V5" s="38" t="s">
        <v>47</v>
      </c>
      <c r="X5" s="3" t="s">
        <v>9</v>
      </c>
      <c r="Y5" s="3" t="s">
        <v>36</v>
      </c>
      <c r="Z5" s="3" t="s">
        <v>37</v>
      </c>
      <c r="AA5" s="3" t="str">
        <f>SUM(AA6:AA9)&amp;"/55"</f>
        <v>0/55</v>
      </c>
      <c r="AB5" s="3" t="s">
        <v>38</v>
      </c>
    </row>
    <row r="6">
      <c r="A6" s="7"/>
      <c r="B6" s="39" t="s">
        <v>12</v>
      </c>
      <c r="C6" s="40" t="s">
        <v>52</v>
      </c>
      <c r="D6" s="21">
        <v>210.0</v>
      </c>
      <c r="E6" s="41">
        <f t="shared" ref="E6:E11" si="3">D6+F6</f>
        <v>210</v>
      </c>
      <c r="F6" s="42"/>
      <c r="G6" s="30">
        <v>45.0</v>
      </c>
      <c r="H6" s="44">
        <f>$G$6+(E6/2)+$AB$6+(Z6/2)+$L$2</f>
        <v>196</v>
      </c>
      <c r="I6" s="30">
        <f>1-(E7/1000)</f>
        <v>0.7</v>
      </c>
      <c r="J6" s="30">
        <f>ROUND(POWER(E6/100,0.5),3)</f>
        <v>1.449</v>
      </c>
      <c r="K6" s="44">
        <f>(G8*J6*I6*N2)</f>
        <v>11.1573</v>
      </c>
      <c r="L6" s="44">
        <f>1+(L4-1)*(1-E10/500)</f>
        <v>1.3584</v>
      </c>
      <c r="M6" s="44">
        <f>M4+((1-M4)*0.5*E10/400)</f>
        <v>0.67275</v>
      </c>
      <c r="N6" s="62">
        <f>(E9+(Q6*N4))/1.3</f>
        <v>24.5</v>
      </c>
      <c r="O6" s="62">
        <f t="shared" ref="O6:P6" si="1">(D9+(P6*O4))/1.3</f>
        <v>26.92307692</v>
      </c>
      <c r="P6" s="62">
        <f t="shared" si="1"/>
        <v>29.34615385</v>
      </c>
      <c r="Q6" s="30">
        <f>3*(E8/100)</f>
        <v>2.1</v>
      </c>
      <c r="R6" s="44">
        <f>E8*1*(VLOOKUP(B6,SPIN!$M$27:$N$40,2,FALSE))</f>
        <v>2800</v>
      </c>
      <c r="S6" s="30">
        <f>E8*2*3.14/60</f>
        <v>7.326666667</v>
      </c>
      <c r="T6" s="45">
        <f t="shared" ref="T6:V6" si="2">$S6*T4*8</f>
        <v>5.861333333</v>
      </c>
      <c r="U6" s="45">
        <f t="shared" si="2"/>
        <v>77.95573333</v>
      </c>
      <c r="V6" s="46">
        <f t="shared" si="2"/>
        <v>-72.0944</v>
      </c>
      <c r="X6" s="3" t="s">
        <v>53</v>
      </c>
      <c r="Y6" s="3">
        <v>30.0</v>
      </c>
      <c r="Z6" s="4">
        <f t="shared" ref="Z6:Z9" si="4">Y6+AA6</f>
        <v>30</v>
      </c>
      <c r="AB6" s="3">
        <v>30.0</v>
      </c>
    </row>
    <row r="7">
      <c r="A7" s="7"/>
      <c r="B7" s="47"/>
      <c r="C7" s="40" t="s">
        <v>54</v>
      </c>
      <c r="D7" s="21">
        <v>300.0</v>
      </c>
      <c r="E7" s="41">
        <f t="shared" si="3"/>
        <v>300</v>
      </c>
      <c r="F7" s="42"/>
      <c r="G7" s="30" t="s">
        <v>55</v>
      </c>
      <c r="H7" s="23" t="s">
        <v>27</v>
      </c>
      <c r="I7" s="23"/>
      <c r="J7" s="23"/>
      <c r="K7" s="23"/>
      <c r="L7" s="23"/>
      <c r="M7" s="23"/>
      <c r="N7" s="108"/>
      <c r="O7" s="108"/>
      <c r="P7" s="108"/>
      <c r="Q7" s="23"/>
      <c r="R7" s="23"/>
      <c r="S7" s="23"/>
      <c r="T7" s="27"/>
      <c r="U7" s="27"/>
      <c r="V7" s="31"/>
      <c r="X7" s="3" t="s">
        <v>56</v>
      </c>
      <c r="Y7" s="3">
        <v>50.0</v>
      </c>
      <c r="Z7" s="4">
        <f t="shared" si="4"/>
        <v>50</v>
      </c>
    </row>
    <row r="8">
      <c r="A8" s="7"/>
      <c r="B8" s="47"/>
      <c r="C8" s="40" t="s">
        <v>57</v>
      </c>
      <c r="D8" s="21">
        <f>D18-15</f>
        <v>70</v>
      </c>
      <c r="E8" s="41">
        <f t="shared" si="3"/>
        <v>70</v>
      </c>
      <c r="F8" s="42"/>
      <c r="G8" s="30">
        <v>11.0</v>
      </c>
      <c r="H8" s="23"/>
      <c r="I8" s="23"/>
      <c r="J8" s="23"/>
      <c r="K8" s="23"/>
      <c r="L8" s="23"/>
      <c r="M8" s="23"/>
      <c r="N8" s="108"/>
      <c r="O8" s="108"/>
      <c r="P8" s="108"/>
      <c r="Q8" s="23"/>
      <c r="R8" s="23"/>
      <c r="S8" s="23"/>
      <c r="T8" s="27"/>
      <c r="U8" s="27"/>
      <c r="V8" s="31"/>
      <c r="X8" s="3" t="s">
        <v>58</v>
      </c>
      <c r="Y8" s="3">
        <v>150.0</v>
      </c>
      <c r="Z8" s="4">
        <f t="shared" si="4"/>
        <v>150</v>
      </c>
    </row>
    <row r="9">
      <c r="A9" s="7"/>
      <c r="B9" s="47"/>
      <c r="C9" s="40" t="s">
        <v>59</v>
      </c>
      <c r="D9" s="48">
        <f>'DEFAULT CLUBS-COMMON'!D9</f>
        <v>35</v>
      </c>
      <c r="E9" s="41">
        <f t="shared" si="3"/>
        <v>35</v>
      </c>
      <c r="F9" s="49"/>
      <c r="G9" s="50"/>
      <c r="H9" s="23"/>
      <c r="I9" s="23"/>
      <c r="J9" s="23"/>
      <c r="K9" s="23"/>
      <c r="L9" s="23"/>
      <c r="M9" s="23"/>
      <c r="N9" s="108"/>
      <c r="O9" s="108"/>
      <c r="P9" s="108"/>
      <c r="Q9" s="23"/>
      <c r="R9" s="23"/>
      <c r="S9" s="23"/>
      <c r="T9" s="27"/>
      <c r="U9" s="27"/>
      <c r="V9" s="31"/>
      <c r="X9" s="3" t="s">
        <v>60</v>
      </c>
      <c r="Y9" s="3">
        <v>5.0</v>
      </c>
      <c r="Z9" s="4">
        <f t="shared" si="4"/>
        <v>5</v>
      </c>
    </row>
    <row r="10">
      <c r="A10" s="7"/>
      <c r="B10" s="47"/>
      <c r="C10" s="40" t="s">
        <v>61</v>
      </c>
      <c r="D10" s="59">
        <f>D20-6</f>
        <v>52</v>
      </c>
      <c r="E10" s="41">
        <f t="shared" si="3"/>
        <v>52</v>
      </c>
      <c r="F10" s="42"/>
      <c r="G10" s="50"/>
      <c r="H10" s="23"/>
      <c r="I10" s="23"/>
      <c r="J10" s="23"/>
      <c r="K10" s="23"/>
      <c r="L10" s="23"/>
      <c r="M10" s="23"/>
      <c r="N10" s="108"/>
      <c r="O10" s="108"/>
      <c r="P10" s="108"/>
      <c r="Q10" s="23"/>
      <c r="R10" s="23"/>
      <c r="S10" s="23"/>
      <c r="T10" s="27"/>
      <c r="U10" s="27"/>
      <c r="V10" s="31"/>
    </row>
    <row r="11">
      <c r="A11" s="7"/>
      <c r="B11" s="51"/>
      <c r="C11" s="52" t="s">
        <v>62</v>
      </c>
      <c r="D11" s="53">
        <v>250.0</v>
      </c>
      <c r="E11" s="54">
        <f t="shared" si="3"/>
        <v>250</v>
      </c>
      <c r="F11" s="109"/>
      <c r="G11" s="55"/>
      <c r="H11" s="56"/>
      <c r="I11" s="56"/>
      <c r="J11" s="56"/>
      <c r="K11" s="56"/>
      <c r="L11" s="56"/>
      <c r="M11" s="56"/>
      <c r="N11" s="110"/>
      <c r="O11" s="110"/>
      <c r="P11" s="110"/>
      <c r="Q11" s="56"/>
      <c r="R11" s="56"/>
      <c r="S11" s="56"/>
      <c r="T11" s="57"/>
      <c r="U11" s="57"/>
      <c r="V11" s="58"/>
    </row>
    <row r="12">
      <c r="A12" s="7"/>
      <c r="B12" s="10"/>
      <c r="C12" s="11"/>
      <c r="D12" s="11"/>
      <c r="E12" s="11"/>
      <c r="F12" s="12"/>
      <c r="G12" s="13"/>
      <c r="H12" s="14" t="s">
        <v>27</v>
      </c>
      <c r="I12" s="14"/>
      <c r="J12" s="14"/>
      <c r="K12" s="14" t="s">
        <v>28</v>
      </c>
      <c r="L12" s="16">
        <f>RANDBETWEEN(0,15)</f>
        <v>14</v>
      </c>
      <c r="M12" s="14" t="s">
        <v>29</v>
      </c>
      <c r="N12" s="105">
        <v>1.0</v>
      </c>
      <c r="O12" s="68"/>
      <c r="P12" s="68"/>
      <c r="Q12" s="16"/>
      <c r="R12" s="16"/>
      <c r="S12" s="16"/>
      <c r="T12" s="17"/>
      <c r="U12" s="17"/>
      <c r="V12" s="18"/>
    </row>
    <row r="13">
      <c r="A13" s="7"/>
      <c r="B13" s="19"/>
      <c r="C13" s="20"/>
      <c r="D13" s="20"/>
      <c r="E13" s="20"/>
      <c r="F13" s="21"/>
      <c r="G13" s="22"/>
      <c r="H13" s="23"/>
      <c r="I13" s="23"/>
      <c r="J13" s="23"/>
      <c r="K13" s="23"/>
      <c r="L13" s="24" t="s">
        <v>33</v>
      </c>
      <c r="M13" s="24" t="s">
        <v>33</v>
      </c>
      <c r="N13" s="75"/>
      <c r="O13" s="75"/>
      <c r="P13" s="75"/>
      <c r="Q13" s="25"/>
      <c r="R13" s="25"/>
      <c r="S13" s="25"/>
      <c r="T13" s="26"/>
      <c r="U13" s="27" t="s">
        <v>34</v>
      </c>
      <c r="V13" s="28"/>
    </row>
    <row r="14">
      <c r="A14" s="7"/>
      <c r="B14" s="19"/>
      <c r="C14" s="20"/>
      <c r="D14" s="20"/>
      <c r="E14" s="20"/>
      <c r="F14" s="29" t="s">
        <v>31</v>
      </c>
      <c r="G14" s="30"/>
      <c r="H14" s="23"/>
      <c r="I14" s="23"/>
      <c r="J14" s="23"/>
      <c r="K14" s="23"/>
      <c r="L14" s="25">
        <f>VLOOKUP(L13,RECOVERY!$AA$8:$AP$10,3,FALSE)</f>
        <v>1.4</v>
      </c>
      <c r="M14" s="25">
        <f>VLOOKUP(M13,RECOVERY!$AA$27:$AP$29,3,FALSE)</f>
        <v>0.65</v>
      </c>
      <c r="N14" s="106">
        <v>-1.5</v>
      </c>
      <c r="O14" s="106">
        <v>0.0</v>
      </c>
      <c r="P14" s="106">
        <v>1.5</v>
      </c>
      <c r="Q14" s="25"/>
      <c r="R14" s="23" t="s">
        <v>35</v>
      </c>
      <c r="S14" s="25"/>
      <c r="T14" s="27">
        <v>0.1</v>
      </c>
      <c r="U14" s="27">
        <v>1.33</v>
      </c>
      <c r="V14" s="31">
        <v>-1.23</v>
      </c>
    </row>
    <row r="15">
      <c r="A15" s="7"/>
      <c r="B15" s="32" t="s">
        <v>9</v>
      </c>
      <c r="C15" s="33"/>
      <c r="D15" s="21" t="s">
        <v>36</v>
      </c>
      <c r="E15" s="34" t="s">
        <v>37</v>
      </c>
      <c r="F15" s="29" t="str">
        <f>F5</f>
        <v>0/160</v>
      </c>
      <c r="G15" s="30" t="s">
        <v>38</v>
      </c>
      <c r="H15" s="36" t="s">
        <v>39</v>
      </c>
      <c r="I15" s="36" t="s">
        <v>40</v>
      </c>
      <c r="J15" s="36" t="s">
        <v>41</v>
      </c>
      <c r="K15" s="36" t="s">
        <v>42</v>
      </c>
      <c r="L15" s="36" t="s">
        <v>43</v>
      </c>
      <c r="M15" s="36" t="s">
        <v>44</v>
      </c>
      <c r="N15" s="107" t="s">
        <v>45</v>
      </c>
      <c r="O15" s="107" t="s">
        <v>46</v>
      </c>
      <c r="P15" s="107" t="s">
        <v>47</v>
      </c>
      <c r="Q15" s="30" t="s">
        <v>48</v>
      </c>
      <c r="R15" s="36" t="s">
        <v>49</v>
      </c>
      <c r="S15" s="30" t="s">
        <v>50</v>
      </c>
      <c r="T15" s="37" t="s">
        <v>51</v>
      </c>
      <c r="U15" s="37" t="s">
        <v>45</v>
      </c>
      <c r="V15" s="38" t="s">
        <v>47</v>
      </c>
    </row>
    <row r="16">
      <c r="A16" s="7"/>
      <c r="B16" s="39" t="s">
        <v>13</v>
      </c>
      <c r="C16" s="40" t="s">
        <v>52</v>
      </c>
      <c r="D16" s="21">
        <f>D6-10</f>
        <v>200</v>
      </c>
      <c r="E16" s="41">
        <f t="shared" ref="E16:E21" si="7">D16+F16</f>
        <v>200</v>
      </c>
      <c r="F16" s="42"/>
      <c r="G16" s="30">
        <f>G6</f>
        <v>45</v>
      </c>
      <c r="H16" s="44">
        <f>$G$6+(E16/2)+$AB$6+(Z16/2)+$L$2</f>
        <v>176</v>
      </c>
      <c r="I16" s="30">
        <f>1-(E17/1000)</f>
        <v>0.7</v>
      </c>
      <c r="J16" s="30">
        <f>ROUND(POWER(E16/100,0.5),3)</f>
        <v>1.414</v>
      </c>
      <c r="K16" s="44">
        <f>(G18*J16*I16*N12)</f>
        <v>10.8878</v>
      </c>
      <c r="L16" s="44">
        <f>1+(L14-1)*(1-E20/500)</f>
        <v>1.3536</v>
      </c>
      <c r="M16" s="44">
        <f>M14+((1-M14)*0.5*E20/400)</f>
        <v>0.675375</v>
      </c>
      <c r="N16" s="62">
        <f>(E19+(Q16*N14))/1.3</f>
        <v>23.98076923</v>
      </c>
      <c r="O16" s="62">
        <f t="shared" ref="O16:P16" si="5">(D19+(P16*O14))/1.3</f>
        <v>26.92307692</v>
      </c>
      <c r="P16" s="62">
        <f t="shared" si="5"/>
        <v>29.86538462</v>
      </c>
      <c r="Q16" s="30">
        <f>3*(E18/100)</f>
        <v>2.55</v>
      </c>
      <c r="R16" s="44">
        <f>E18*1*(VLOOKUP(B16,SPIN!$M$27:$N$40,2,FALSE))</f>
        <v>4250</v>
      </c>
      <c r="S16" s="30">
        <f>E18*2*3.14/60</f>
        <v>8.896666667</v>
      </c>
      <c r="T16" s="45">
        <f t="shared" ref="T16:V16" si="6">$S16*T14*8</f>
        <v>7.117333333</v>
      </c>
      <c r="U16" s="45">
        <f t="shared" si="6"/>
        <v>94.66053333</v>
      </c>
      <c r="V16" s="46">
        <f t="shared" si="6"/>
        <v>-87.5432</v>
      </c>
    </row>
    <row r="17">
      <c r="A17" s="7"/>
      <c r="B17" s="47"/>
      <c r="C17" s="40" t="s">
        <v>54</v>
      </c>
      <c r="D17" s="21">
        <f>D7</f>
        <v>300</v>
      </c>
      <c r="E17" s="41">
        <f t="shared" si="7"/>
        <v>300</v>
      </c>
      <c r="F17" s="42"/>
      <c r="G17" s="30" t="s">
        <v>55</v>
      </c>
      <c r="H17" s="23"/>
      <c r="I17" s="23"/>
      <c r="J17" s="23"/>
      <c r="K17" s="23"/>
      <c r="L17" s="23"/>
      <c r="M17" s="23"/>
      <c r="N17" s="108"/>
      <c r="O17" s="108"/>
      <c r="P17" s="108"/>
      <c r="Q17" s="23"/>
      <c r="R17" s="23"/>
      <c r="S17" s="23"/>
      <c r="T17" s="27"/>
      <c r="U17" s="27"/>
      <c r="V17" s="31"/>
    </row>
    <row r="18">
      <c r="A18" s="7"/>
      <c r="B18" s="47"/>
      <c r="C18" s="40" t="s">
        <v>57</v>
      </c>
      <c r="D18" s="21">
        <f>D28</f>
        <v>85</v>
      </c>
      <c r="E18" s="41">
        <f t="shared" si="7"/>
        <v>85</v>
      </c>
      <c r="F18" s="42"/>
      <c r="G18" s="30">
        <f>G8</f>
        <v>11</v>
      </c>
      <c r="H18" s="23"/>
      <c r="I18" s="23"/>
      <c r="J18" s="23"/>
      <c r="K18" s="23"/>
      <c r="L18" s="23"/>
      <c r="M18" s="23"/>
      <c r="N18" s="108"/>
      <c r="O18" s="108"/>
      <c r="P18" s="108"/>
      <c r="Q18" s="23"/>
      <c r="R18" s="23"/>
      <c r="S18" s="23"/>
      <c r="T18" s="27"/>
      <c r="U18" s="27"/>
      <c r="V18" s="31"/>
    </row>
    <row r="19">
      <c r="A19" s="7"/>
      <c r="B19" s="47"/>
      <c r="C19" s="40" t="s">
        <v>59</v>
      </c>
      <c r="D19" s="48">
        <f>'DEFAULT CLUBS-COMMON'!D19</f>
        <v>35</v>
      </c>
      <c r="E19" s="41">
        <f t="shared" si="7"/>
        <v>35</v>
      </c>
      <c r="F19" s="49"/>
      <c r="G19" s="50"/>
      <c r="H19" s="23"/>
      <c r="I19" s="23"/>
      <c r="J19" s="23"/>
      <c r="K19" s="23"/>
      <c r="L19" s="23"/>
      <c r="M19" s="23"/>
      <c r="N19" s="108"/>
      <c r="O19" s="108"/>
      <c r="P19" s="108"/>
      <c r="Q19" s="23"/>
      <c r="R19" s="23"/>
      <c r="S19" s="23"/>
      <c r="T19" s="27"/>
      <c r="U19" s="27"/>
      <c r="V19" s="31"/>
    </row>
    <row r="20">
      <c r="A20" s="7"/>
      <c r="B20" s="47"/>
      <c r="C20" s="40" t="s">
        <v>61</v>
      </c>
      <c r="D20" s="59">
        <f>D30</f>
        <v>58</v>
      </c>
      <c r="E20" s="41">
        <f t="shared" si="7"/>
        <v>58</v>
      </c>
      <c r="F20" s="42"/>
      <c r="G20" s="50"/>
      <c r="H20" s="23"/>
      <c r="I20" s="23"/>
      <c r="J20" s="23"/>
      <c r="K20" s="23"/>
      <c r="L20" s="23"/>
      <c r="M20" s="23"/>
      <c r="N20" s="108"/>
      <c r="O20" s="108"/>
      <c r="P20" s="108"/>
      <c r="Q20" s="23"/>
      <c r="R20" s="23"/>
      <c r="S20" s="23"/>
      <c r="T20" s="27"/>
      <c r="U20" s="27"/>
      <c r="V20" s="31"/>
    </row>
    <row r="21">
      <c r="A21" s="7"/>
      <c r="B21" s="51"/>
      <c r="C21" s="52" t="s">
        <v>62</v>
      </c>
      <c r="D21" s="60">
        <f>D11</f>
        <v>250</v>
      </c>
      <c r="E21" s="54">
        <f t="shared" si="7"/>
        <v>250</v>
      </c>
      <c r="F21" s="61"/>
      <c r="G21" s="55"/>
      <c r="H21" s="56"/>
      <c r="I21" s="56"/>
      <c r="J21" s="56"/>
      <c r="K21" s="56"/>
      <c r="L21" s="56"/>
      <c r="M21" s="56"/>
      <c r="N21" s="110"/>
      <c r="O21" s="110"/>
      <c r="P21" s="110"/>
      <c r="Q21" s="56"/>
      <c r="R21" s="56"/>
      <c r="S21" s="56"/>
      <c r="T21" s="57"/>
      <c r="U21" s="57"/>
      <c r="V21" s="58"/>
    </row>
    <row r="22">
      <c r="A22" s="7"/>
      <c r="B22" s="10"/>
      <c r="C22" s="11"/>
      <c r="D22" s="11"/>
      <c r="E22" s="11"/>
      <c r="F22" s="12"/>
      <c r="G22" s="13"/>
      <c r="H22" s="14" t="s">
        <v>27</v>
      </c>
      <c r="I22" s="14"/>
      <c r="J22" s="14"/>
      <c r="K22" s="14" t="s">
        <v>28</v>
      </c>
      <c r="L22" s="16">
        <f>RANDBETWEEN(0,3)</f>
        <v>0</v>
      </c>
      <c r="M22" s="14" t="s">
        <v>29</v>
      </c>
      <c r="N22" s="105">
        <v>1.0</v>
      </c>
      <c r="O22" s="68"/>
      <c r="P22" s="68"/>
      <c r="Q22" s="16"/>
      <c r="R22" s="16"/>
      <c r="S22" s="16"/>
      <c r="T22" s="17"/>
      <c r="U22" s="17"/>
      <c r="V22" s="18"/>
    </row>
    <row r="23">
      <c r="A23" s="7"/>
      <c r="B23" s="19"/>
      <c r="C23" s="20"/>
      <c r="D23" s="20"/>
      <c r="E23" s="20"/>
      <c r="F23" s="21"/>
      <c r="G23" s="22"/>
      <c r="H23" s="23"/>
      <c r="I23" s="23"/>
      <c r="J23" s="23"/>
      <c r="K23" s="23"/>
      <c r="L23" s="24" t="s">
        <v>33</v>
      </c>
      <c r="M23" s="24" t="s">
        <v>33</v>
      </c>
      <c r="N23" s="75"/>
      <c r="O23" s="75"/>
      <c r="P23" s="75"/>
      <c r="Q23" s="25"/>
      <c r="R23" s="25"/>
      <c r="S23" s="25"/>
      <c r="T23" s="26"/>
      <c r="U23" s="27" t="s">
        <v>34</v>
      </c>
      <c r="V23" s="28"/>
    </row>
    <row r="24">
      <c r="A24" s="7"/>
      <c r="B24" s="19"/>
      <c r="C24" s="20"/>
      <c r="D24" s="20"/>
      <c r="E24" s="20"/>
      <c r="F24" s="29" t="s">
        <v>31</v>
      </c>
      <c r="G24" s="30"/>
      <c r="H24" s="23"/>
      <c r="I24" s="23"/>
      <c r="J24" s="23"/>
      <c r="K24" s="23"/>
      <c r="L24" s="25">
        <f>VLOOKUP(L23,RECOVERY!$AA$8:$AP$10,4,FALSE)</f>
        <v>1.4</v>
      </c>
      <c r="M24" s="25">
        <f>VLOOKUP(M23,RECOVERY!$AA$27:$AP$29,4,FALSE)</f>
        <v>0.65</v>
      </c>
      <c r="N24" s="106">
        <v>-1.5</v>
      </c>
      <c r="O24" s="106">
        <v>0.0</v>
      </c>
      <c r="P24" s="106">
        <v>1.5</v>
      </c>
      <c r="Q24" s="25"/>
      <c r="R24" s="23" t="s">
        <v>35</v>
      </c>
      <c r="S24" s="25"/>
      <c r="T24" s="27">
        <v>0.1</v>
      </c>
      <c r="U24" s="27">
        <v>1.33</v>
      </c>
      <c r="V24" s="31">
        <v>-1.23</v>
      </c>
    </row>
    <row r="25">
      <c r="A25" s="7"/>
      <c r="B25" s="32" t="s">
        <v>9</v>
      </c>
      <c r="C25" s="33"/>
      <c r="D25" s="21" t="s">
        <v>36</v>
      </c>
      <c r="E25" s="34" t="s">
        <v>37</v>
      </c>
      <c r="F25" s="29" t="str">
        <f>F15</f>
        <v>0/160</v>
      </c>
      <c r="G25" s="30" t="s">
        <v>38</v>
      </c>
      <c r="H25" s="36" t="s">
        <v>39</v>
      </c>
      <c r="I25" s="36" t="s">
        <v>40</v>
      </c>
      <c r="J25" s="36" t="s">
        <v>41</v>
      </c>
      <c r="K25" s="36" t="s">
        <v>42</v>
      </c>
      <c r="L25" s="36" t="s">
        <v>43</v>
      </c>
      <c r="M25" s="36" t="s">
        <v>44</v>
      </c>
      <c r="N25" s="107" t="s">
        <v>45</v>
      </c>
      <c r="O25" s="107" t="s">
        <v>46</v>
      </c>
      <c r="P25" s="107" t="s">
        <v>47</v>
      </c>
      <c r="Q25" s="30" t="s">
        <v>48</v>
      </c>
      <c r="R25" s="36" t="s">
        <v>49</v>
      </c>
      <c r="S25" s="30" t="s">
        <v>50</v>
      </c>
      <c r="T25" s="37" t="s">
        <v>51</v>
      </c>
      <c r="U25" s="37" t="s">
        <v>45</v>
      </c>
      <c r="V25" s="38" t="s">
        <v>47</v>
      </c>
    </row>
    <row r="26">
      <c r="A26" s="7"/>
      <c r="B26" s="39" t="s">
        <v>14</v>
      </c>
      <c r="C26" s="40" t="s">
        <v>52</v>
      </c>
      <c r="D26" s="21">
        <f>D16-10</f>
        <v>190</v>
      </c>
      <c r="E26" s="41">
        <f t="shared" ref="E26:E31" si="10">D26+F26</f>
        <v>190</v>
      </c>
      <c r="F26" s="42"/>
      <c r="G26" s="30">
        <f>G16</f>
        <v>45</v>
      </c>
      <c r="H26" s="62">
        <f>$G$6+(E26/2)+$AB$6+(Z26/2)+$L$2</f>
        <v>171</v>
      </c>
      <c r="I26" s="30">
        <f>1-(E27/1000)</f>
        <v>0.695</v>
      </c>
      <c r="J26" s="63">
        <f>ROUND(POWER(E26/100,0.5),3)</f>
        <v>1.378</v>
      </c>
      <c r="K26" s="62">
        <f>(G28*J26*I26*N22)</f>
        <v>10.53481</v>
      </c>
      <c r="L26" s="62">
        <f>1+(L24-1)*(1-E30/500)</f>
        <v>1.3536</v>
      </c>
      <c r="M26" s="44">
        <f>M24+((1-M24)*0.5*E30/400)</f>
        <v>0.675375</v>
      </c>
      <c r="N26" s="62">
        <f>(E29+(Q26*N24))/1.3</f>
        <v>23.98076923</v>
      </c>
      <c r="O26" s="62">
        <f t="shared" ref="O26:P26" si="8">(D29+(P26*O24))/1.3</f>
        <v>26.92307692</v>
      </c>
      <c r="P26" s="62">
        <f t="shared" si="8"/>
        <v>29.86538462</v>
      </c>
      <c r="Q26" s="63">
        <f>3*(E28/100)</f>
        <v>2.55</v>
      </c>
      <c r="R26" s="62">
        <f>E28*1*(VLOOKUP(B26,SPIN!$M$27:$N$40,2,FALSE))</f>
        <v>4250</v>
      </c>
      <c r="S26" s="30">
        <f>E28*2*3.14/60</f>
        <v>8.896666667</v>
      </c>
      <c r="T26" s="45">
        <f t="shared" ref="T26:V26" si="9">$S26*T24*8</f>
        <v>7.117333333</v>
      </c>
      <c r="U26" s="45">
        <f t="shared" si="9"/>
        <v>94.66053333</v>
      </c>
      <c r="V26" s="46">
        <f t="shared" si="9"/>
        <v>-87.5432</v>
      </c>
    </row>
    <row r="27">
      <c r="A27" s="7"/>
      <c r="B27" s="47"/>
      <c r="C27" s="40" t="s">
        <v>54</v>
      </c>
      <c r="D27" s="21">
        <f>D17+5</f>
        <v>305</v>
      </c>
      <c r="E27" s="41">
        <f t="shared" si="10"/>
        <v>305</v>
      </c>
      <c r="F27" s="42"/>
      <c r="G27" s="30" t="s">
        <v>55</v>
      </c>
      <c r="H27" s="23"/>
      <c r="I27" s="23"/>
      <c r="J27" s="23"/>
      <c r="K27" s="23"/>
      <c r="L27" s="23"/>
      <c r="M27" s="23"/>
      <c r="N27" s="108"/>
      <c r="O27" s="108"/>
      <c r="P27" s="108"/>
      <c r="Q27" s="23"/>
      <c r="R27" s="23"/>
      <c r="S27" s="23"/>
      <c r="T27" s="27"/>
      <c r="U27" s="27"/>
      <c r="V27" s="31"/>
    </row>
    <row r="28">
      <c r="A28" s="7"/>
      <c r="B28" s="47"/>
      <c r="C28" s="40" t="s">
        <v>57</v>
      </c>
      <c r="D28" s="21">
        <f>D48</f>
        <v>85</v>
      </c>
      <c r="E28" s="41">
        <f t="shared" si="10"/>
        <v>85</v>
      </c>
      <c r="F28" s="42"/>
      <c r="G28" s="30">
        <f>G18</f>
        <v>11</v>
      </c>
      <c r="H28" s="23"/>
      <c r="I28" s="23"/>
      <c r="J28" s="23"/>
      <c r="K28" s="23"/>
      <c r="L28" s="23"/>
      <c r="M28" s="23"/>
      <c r="N28" s="108"/>
      <c r="O28" s="108"/>
      <c r="P28" s="108"/>
      <c r="Q28" s="23"/>
      <c r="R28" s="23"/>
      <c r="S28" s="23"/>
      <c r="T28" s="27"/>
      <c r="U28" s="27"/>
      <c r="V28" s="31"/>
    </row>
    <row r="29">
      <c r="A29" s="7"/>
      <c r="B29" s="47"/>
      <c r="C29" s="40" t="s">
        <v>59</v>
      </c>
      <c r="D29" s="48">
        <f>'DEFAULT CLUBS-COMMON'!D29</f>
        <v>35</v>
      </c>
      <c r="E29" s="41">
        <f t="shared" si="10"/>
        <v>35</v>
      </c>
      <c r="F29" s="49"/>
      <c r="G29" s="50"/>
      <c r="H29" s="23"/>
      <c r="I29" s="23"/>
      <c r="J29" s="23"/>
      <c r="K29" s="23"/>
      <c r="L29" s="23"/>
      <c r="M29" s="23"/>
      <c r="N29" s="108"/>
      <c r="O29" s="108"/>
      <c r="P29" s="108"/>
      <c r="Q29" s="23"/>
      <c r="R29" s="23"/>
      <c r="S29" s="23"/>
      <c r="T29" s="27"/>
      <c r="U29" s="27"/>
      <c r="V29" s="31"/>
    </row>
    <row r="30">
      <c r="A30" s="7"/>
      <c r="B30" s="47"/>
      <c r="C30" s="40" t="s">
        <v>61</v>
      </c>
      <c r="D30" s="59">
        <f>D40</f>
        <v>58</v>
      </c>
      <c r="E30" s="41">
        <f t="shared" si="10"/>
        <v>58</v>
      </c>
      <c r="F30" s="42"/>
      <c r="G30" s="50"/>
      <c r="H30" s="23"/>
      <c r="I30" s="23"/>
      <c r="J30" s="23"/>
      <c r="K30" s="23"/>
      <c r="L30" s="23"/>
      <c r="M30" s="23"/>
      <c r="N30" s="108"/>
      <c r="O30" s="108"/>
      <c r="P30" s="108"/>
      <c r="Q30" s="23"/>
      <c r="R30" s="23"/>
      <c r="S30" s="23"/>
      <c r="T30" s="27"/>
      <c r="U30" s="27"/>
      <c r="V30" s="31"/>
    </row>
    <row r="31">
      <c r="A31" s="7"/>
      <c r="B31" s="51"/>
      <c r="C31" s="52" t="s">
        <v>62</v>
      </c>
      <c r="D31" s="60">
        <f>D21</f>
        <v>250</v>
      </c>
      <c r="E31" s="54">
        <f t="shared" si="10"/>
        <v>250</v>
      </c>
      <c r="F31" s="61"/>
      <c r="G31" s="55"/>
      <c r="H31" s="56"/>
      <c r="I31" s="56"/>
      <c r="J31" s="56"/>
      <c r="K31" s="56"/>
      <c r="L31" s="56"/>
      <c r="M31" s="56"/>
      <c r="N31" s="110"/>
      <c r="O31" s="110"/>
      <c r="P31" s="110"/>
      <c r="Q31" s="56"/>
      <c r="R31" s="56"/>
      <c r="S31" s="56"/>
      <c r="T31" s="57"/>
      <c r="U31" s="57"/>
      <c r="V31" s="58"/>
    </row>
    <row r="32">
      <c r="A32" s="7"/>
      <c r="B32" s="64"/>
      <c r="C32" s="65"/>
      <c r="D32" s="66"/>
      <c r="E32" s="66"/>
      <c r="F32" s="12"/>
      <c r="G32" s="13"/>
      <c r="H32" s="68" t="s">
        <v>27</v>
      </c>
      <c r="I32" s="14"/>
      <c r="J32" s="68"/>
      <c r="K32" s="68" t="s">
        <v>28</v>
      </c>
      <c r="L32" s="69">
        <f>RANDBETWEEN(0,3)</f>
        <v>1</v>
      </c>
      <c r="M32" s="68" t="s">
        <v>29</v>
      </c>
      <c r="N32" s="70">
        <v>1.0</v>
      </c>
      <c r="O32" s="68"/>
      <c r="P32" s="68"/>
      <c r="Q32" s="68"/>
      <c r="R32" s="68"/>
      <c r="S32" s="16"/>
      <c r="T32" s="17"/>
      <c r="U32" s="17"/>
      <c r="V32" s="18"/>
    </row>
    <row r="33">
      <c r="A33" s="7"/>
      <c r="B33" s="71"/>
      <c r="C33" s="72"/>
      <c r="D33" s="73"/>
      <c r="E33" s="73"/>
      <c r="F33" s="21"/>
      <c r="G33" s="22"/>
      <c r="H33" s="75"/>
      <c r="I33" s="23"/>
      <c r="J33" s="75"/>
      <c r="K33" s="75"/>
      <c r="L33" s="76" t="s">
        <v>33</v>
      </c>
      <c r="M33" s="76" t="s">
        <v>33</v>
      </c>
      <c r="N33" s="75"/>
      <c r="O33" s="75"/>
      <c r="P33" s="75"/>
      <c r="Q33" s="75"/>
      <c r="R33" s="75"/>
      <c r="S33" s="25"/>
      <c r="T33" s="26"/>
      <c r="U33" s="27" t="s">
        <v>34</v>
      </c>
      <c r="V33" s="28"/>
    </row>
    <row r="34">
      <c r="A34" s="7"/>
      <c r="B34" s="71"/>
      <c r="C34" s="72"/>
      <c r="D34" s="73"/>
      <c r="E34" s="73"/>
      <c r="F34" s="29" t="s">
        <v>31</v>
      </c>
      <c r="G34" s="30"/>
      <c r="H34" s="75"/>
      <c r="I34" s="23"/>
      <c r="J34" s="75"/>
      <c r="K34" s="75"/>
      <c r="L34" s="78">
        <f>VLOOKUP(L33,RECOVERY!$AA$8:$AP$10,5,FALSE)</f>
        <v>1.4</v>
      </c>
      <c r="M34" s="78">
        <f>VLOOKUP(M33,RECOVERY!$AA$27:$AP$29,5,FALSE)</f>
        <v>0.65</v>
      </c>
      <c r="N34" s="78">
        <v>-1.5</v>
      </c>
      <c r="O34" s="78">
        <v>0.0</v>
      </c>
      <c r="P34" s="78">
        <v>1.5</v>
      </c>
      <c r="Q34" s="75"/>
      <c r="R34" s="78" t="s">
        <v>35</v>
      </c>
      <c r="S34" s="25"/>
      <c r="T34" s="27">
        <v>0.1</v>
      </c>
      <c r="U34" s="27">
        <v>1.33</v>
      </c>
      <c r="V34" s="31">
        <v>-1.23</v>
      </c>
    </row>
    <row r="35">
      <c r="A35" s="7"/>
      <c r="B35" s="79" t="s">
        <v>9</v>
      </c>
      <c r="C35" s="80"/>
      <c r="D35" s="81" t="s">
        <v>36</v>
      </c>
      <c r="E35" s="82" t="s">
        <v>37</v>
      </c>
      <c r="F35" s="29" t="str">
        <f>F25</f>
        <v>0/160</v>
      </c>
      <c r="G35" s="30" t="s">
        <v>38</v>
      </c>
      <c r="H35" s="83" t="s">
        <v>39</v>
      </c>
      <c r="I35" s="36" t="s">
        <v>40</v>
      </c>
      <c r="J35" s="83" t="s">
        <v>41</v>
      </c>
      <c r="K35" s="83" t="s">
        <v>42</v>
      </c>
      <c r="L35" s="83" t="s">
        <v>43</v>
      </c>
      <c r="M35" s="83" t="s">
        <v>44</v>
      </c>
      <c r="N35" s="83" t="s">
        <v>45</v>
      </c>
      <c r="O35" s="83" t="s">
        <v>46</v>
      </c>
      <c r="P35" s="83" t="s">
        <v>47</v>
      </c>
      <c r="Q35" s="84" t="s">
        <v>48</v>
      </c>
      <c r="R35" s="36" t="s">
        <v>49</v>
      </c>
      <c r="S35" s="30" t="s">
        <v>50</v>
      </c>
      <c r="T35" s="37" t="s">
        <v>51</v>
      </c>
      <c r="U35" s="37" t="s">
        <v>45</v>
      </c>
      <c r="V35" s="38" t="s">
        <v>47</v>
      </c>
    </row>
    <row r="36">
      <c r="A36" s="7"/>
      <c r="B36" s="85" t="s">
        <v>15</v>
      </c>
      <c r="C36" s="86" t="s">
        <v>52</v>
      </c>
      <c r="D36" s="21">
        <f>D26-10</f>
        <v>180</v>
      </c>
      <c r="E36" s="87">
        <f t="shared" ref="E36:E41" si="13">D36+F36</f>
        <v>180</v>
      </c>
      <c r="F36" s="42"/>
      <c r="G36" s="30">
        <f>G26</f>
        <v>45</v>
      </c>
      <c r="H36" s="62">
        <f>$G$6+(E36/2)+$AB$6+(Z36/2)+$L$2</f>
        <v>166</v>
      </c>
      <c r="I36" s="30">
        <f>1-(E37/1000)</f>
        <v>0.695</v>
      </c>
      <c r="J36" s="88">
        <f>ROUND(POWER(E36/100,0.5),3)</f>
        <v>1.342</v>
      </c>
      <c r="K36" s="62">
        <f>(G38*J36*I36*N32)</f>
        <v>10.25959</v>
      </c>
      <c r="L36" s="62">
        <f>1+(L34-1)*(1-E40/500)</f>
        <v>1.3536</v>
      </c>
      <c r="M36" s="44">
        <f>M34+((1-M34)*0.5*E40/400)</f>
        <v>0.675375</v>
      </c>
      <c r="N36" s="62">
        <f>(E39+(Q36*N34))/1.3</f>
        <v>23.84230769</v>
      </c>
      <c r="O36" s="62">
        <f t="shared" ref="O36:P36" si="11">(D39+(P36*O34))/1.3</f>
        <v>26.92307692</v>
      </c>
      <c r="P36" s="62">
        <f t="shared" si="11"/>
        <v>30.00384615</v>
      </c>
      <c r="Q36" s="88">
        <f>3*(E38/100)</f>
        <v>2.67</v>
      </c>
      <c r="R36" s="62">
        <f>E38*1*(VLOOKUP(B36,SPIN!$M$27:$N$40,2,FALSE))</f>
        <v>4450</v>
      </c>
      <c r="S36" s="30">
        <f>E38*2*3.14/60</f>
        <v>9.315333333</v>
      </c>
      <c r="T36" s="45">
        <f t="shared" ref="T36:V36" si="12">$S36*T34*8</f>
        <v>7.452266667</v>
      </c>
      <c r="U36" s="45">
        <f t="shared" si="12"/>
        <v>99.11514667</v>
      </c>
      <c r="V36" s="46">
        <f t="shared" si="12"/>
        <v>-91.66288</v>
      </c>
    </row>
    <row r="37">
      <c r="A37" s="7"/>
      <c r="B37" s="89"/>
      <c r="C37" s="86" t="s">
        <v>54</v>
      </c>
      <c r="D37" s="21">
        <f>D27</f>
        <v>305</v>
      </c>
      <c r="E37" s="87">
        <f t="shared" si="13"/>
        <v>305</v>
      </c>
      <c r="F37" s="42"/>
      <c r="G37" s="30" t="s">
        <v>55</v>
      </c>
      <c r="H37" s="75"/>
      <c r="I37" s="23"/>
      <c r="J37" s="75"/>
      <c r="K37" s="75"/>
      <c r="L37" s="75"/>
      <c r="M37" s="75"/>
      <c r="N37" s="75"/>
      <c r="O37" s="75"/>
      <c r="P37" s="75"/>
      <c r="Q37" s="75"/>
      <c r="R37" s="75"/>
      <c r="S37" s="23"/>
      <c r="T37" s="27"/>
      <c r="U37" s="27"/>
      <c r="V37" s="31"/>
    </row>
    <row r="38">
      <c r="A38" s="7"/>
      <c r="B38" s="89"/>
      <c r="C38" s="86" t="s">
        <v>57</v>
      </c>
      <c r="D38" s="21">
        <f>D48+4</f>
        <v>89</v>
      </c>
      <c r="E38" s="87">
        <f t="shared" si="13"/>
        <v>89</v>
      </c>
      <c r="F38" s="42"/>
      <c r="G38" s="30">
        <f>G28</f>
        <v>11</v>
      </c>
      <c r="H38" s="75"/>
      <c r="I38" s="23"/>
      <c r="J38" s="75"/>
      <c r="K38" s="75"/>
      <c r="L38" s="75"/>
      <c r="M38" s="75"/>
      <c r="N38" s="75"/>
      <c r="O38" s="75"/>
      <c r="P38" s="75"/>
      <c r="Q38" s="75"/>
      <c r="R38" s="75"/>
      <c r="S38" s="23"/>
      <c r="T38" s="27"/>
      <c r="U38" s="27"/>
      <c r="V38" s="31"/>
    </row>
    <row r="39">
      <c r="A39" s="7"/>
      <c r="B39" s="89"/>
      <c r="C39" s="86" t="s">
        <v>59</v>
      </c>
      <c r="D39" s="48">
        <f>'DEFAULT CLUBS-COMMON'!D39</f>
        <v>35</v>
      </c>
      <c r="E39" s="87">
        <f t="shared" si="13"/>
        <v>35</v>
      </c>
      <c r="F39" s="49"/>
      <c r="G39" s="50"/>
      <c r="H39" s="75"/>
      <c r="I39" s="23"/>
      <c r="J39" s="75"/>
      <c r="K39" s="75"/>
      <c r="L39" s="75"/>
      <c r="M39" s="75"/>
      <c r="N39" s="75"/>
      <c r="O39" s="75"/>
      <c r="P39" s="75"/>
      <c r="Q39" s="75"/>
      <c r="R39" s="75"/>
      <c r="S39" s="23"/>
      <c r="T39" s="27"/>
      <c r="U39" s="27"/>
      <c r="V39" s="31"/>
    </row>
    <row r="40">
      <c r="A40" s="7"/>
      <c r="B40" s="89"/>
      <c r="C40" s="86" t="s">
        <v>61</v>
      </c>
      <c r="D40" s="59">
        <f>D50</f>
        <v>58</v>
      </c>
      <c r="E40" s="87">
        <f t="shared" si="13"/>
        <v>58</v>
      </c>
      <c r="F40" s="42"/>
      <c r="G40" s="50"/>
      <c r="H40" s="75"/>
      <c r="I40" s="23"/>
      <c r="J40" s="75"/>
      <c r="K40" s="75"/>
      <c r="L40" s="75"/>
      <c r="M40" s="75"/>
      <c r="N40" s="75"/>
      <c r="O40" s="75"/>
      <c r="P40" s="75"/>
      <c r="Q40" s="75"/>
      <c r="R40" s="75"/>
      <c r="S40" s="23"/>
      <c r="T40" s="27"/>
      <c r="U40" s="27"/>
      <c r="V40" s="31"/>
    </row>
    <row r="41">
      <c r="A41" s="7"/>
      <c r="B41" s="90"/>
      <c r="C41" s="91" t="s">
        <v>62</v>
      </c>
      <c r="D41" s="60">
        <f>D31</f>
        <v>250</v>
      </c>
      <c r="E41" s="92">
        <f t="shared" si="13"/>
        <v>250</v>
      </c>
      <c r="F41" s="61"/>
      <c r="G41" s="55"/>
      <c r="H41" s="93"/>
      <c r="I41" s="56"/>
      <c r="J41" s="93"/>
      <c r="K41" s="93"/>
      <c r="L41" s="93"/>
      <c r="M41" s="93"/>
      <c r="N41" s="93"/>
      <c r="O41" s="93"/>
      <c r="P41" s="93"/>
      <c r="Q41" s="93"/>
      <c r="R41" s="93"/>
      <c r="S41" s="56"/>
      <c r="T41" s="57"/>
      <c r="U41" s="57"/>
      <c r="V41" s="58"/>
    </row>
    <row r="42">
      <c r="A42" s="7"/>
      <c r="B42" s="64"/>
      <c r="C42" s="65"/>
      <c r="D42" s="66"/>
      <c r="E42" s="66"/>
      <c r="F42" s="12"/>
      <c r="G42" s="13"/>
      <c r="H42" s="68" t="s">
        <v>27</v>
      </c>
      <c r="I42" s="14"/>
      <c r="J42" s="68"/>
      <c r="K42" s="68" t="s">
        <v>28</v>
      </c>
      <c r="L42" s="69">
        <f>RANDBETWEEN(0,3)</f>
        <v>0</v>
      </c>
      <c r="M42" s="68" t="s">
        <v>29</v>
      </c>
      <c r="N42" s="70">
        <v>1.0</v>
      </c>
      <c r="O42" s="68"/>
      <c r="P42" s="68"/>
      <c r="Q42" s="68"/>
      <c r="R42" s="68"/>
      <c r="S42" s="16"/>
      <c r="T42" s="17"/>
      <c r="U42" s="17"/>
      <c r="V42" s="18"/>
    </row>
    <row r="43">
      <c r="A43" s="7"/>
      <c r="B43" s="71"/>
      <c r="C43" s="72"/>
      <c r="D43" s="73"/>
      <c r="E43" s="73"/>
      <c r="F43" s="21"/>
      <c r="G43" s="22"/>
      <c r="H43" s="75"/>
      <c r="I43" s="23"/>
      <c r="J43" s="75"/>
      <c r="K43" s="75"/>
      <c r="L43" s="76" t="s">
        <v>33</v>
      </c>
      <c r="M43" s="76" t="s">
        <v>33</v>
      </c>
      <c r="N43" s="75"/>
      <c r="O43" s="75"/>
      <c r="P43" s="75"/>
      <c r="Q43" s="75"/>
      <c r="R43" s="75"/>
      <c r="S43" s="25"/>
      <c r="T43" s="26"/>
      <c r="U43" s="27" t="s">
        <v>34</v>
      </c>
      <c r="V43" s="28"/>
    </row>
    <row r="44">
      <c r="A44" s="7"/>
      <c r="B44" s="71"/>
      <c r="C44" s="72"/>
      <c r="D44" s="73"/>
      <c r="E44" s="73"/>
      <c r="F44" s="29" t="s">
        <v>31</v>
      </c>
      <c r="G44" s="30"/>
      <c r="H44" s="75"/>
      <c r="I44" s="23"/>
      <c r="J44" s="75"/>
      <c r="K44" s="75"/>
      <c r="L44" s="78">
        <f>VLOOKUP(L43,RECOVERY!$AA$8:$AP$10,6,FALSE)</f>
        <v>1.3</v>
      </c>
      <c r="M44" s="78">
        <f>VLOOKUP(M43,RECOVERY!$AA$27:$AP$29,6,FALSE)</f>
        <v>0.65</v>
      </c>
      <c r="N44" s="78">
        <v>-1.5</v>
      </c>
      <c r="O44" s="78">
        <v>0.0</v>
      </c>
      <c r="P44" s="78">
        <v>1.5</v>
      </c>
      <c r="Q44" s="75"/>
      <c r="R44" s="78" t="s">
        <v>35</v>
      </c>
      <c r="S44" s="25"/>
      <c r="T44" s="27">
        <v>0.1</v>
      </c>
      <c r="U44" s="27">
        <v>1.33</v>
      </c>
      <c r="V44" s="31">
        <v>-1.23</v>
      </c>
    </row>
    <row r="45">
      <c r="A45" s="7"/>
      <c r="B45" s="79" t="s">
        <v>9</v>
      </c>
      <c r="C45" s="80"/>
      <c r="D45" s="81" t="s">
        <v>36</v>
      </c>
      <c r="E45" s="82" t="s">
        <v>37</v>
      </c>
      <c r="F45" s="29" t="str">
        <f>F35</f>
        <v>0/160</v>
      </c>
      <c r="G45" s="30" t="s">
        <v>38</v>
      </c>
      <c r="H45" s="83" t="s">
        <v>39</v>
      </c>
      <c r="I45" s="36" t="s">
        <v>40</v>
      </c>
      <c r="J45" s="83" t="s">
        <v>41</v>
      </c>
      <c r="K45" s="83" t="s">
        <v>42</v>
      </c>
      <c r="L45" s="83" t="s">
        <v>43</v>
      </c>
      <c r="M45" s="83" t="s">
        <v>44</v>
      </c>
      <c r="N45" s="83" t="s">
        <v>45</v>
      </c>
      <c r="O45" s="83" t="s">
        <v>46</v>
      </c>
      <c r="P45" s="83" t="s">
        <v>47</v>
      </c>
      <c r="Q45" s="84" t="s">
        <v>48</v>
      </c>
      <c r="R45" s="36" t="s">
        <v>49</v>
      </c>
      <c r="S45" s="30" t="s">
        <v>50</v>
      </c>
      <c r="T45" s="37" t="s">
        <v>51</v>
      </c>
      <c r="U45" s="37" t="s">
        <v>45</v>
      </c>
      <c r="V45" s="38" t="s">
        <v>47</v>
      </c>
    </row>
    <row r="46">
      <c r="A46" s="7"/>
      <c r="B46" s="85" t="s">
        <v>16</v>
      </c>
      <c r="C46" s="86" t="s">
        <v>52</v>
      </c>
      <c r="D46" s="21">
        <f>D36-10</f>
        <v>170</v>
      </c>
      <c r="E46" s="87">
        <f t="shared" ref="E46:E51" si="16">D46+F46</f>
        <v>170</v>
      </c>
      <c r="F46" s="42"/>
      <c r="G46" s="30">
        <f>G36</f>
        <v>45</v>
      </c>
      <c r="H46" s="62">
        <f>$G$6+(E46/2)+$AB$6+(Z46/2)+$L$2</f>
        <v>161</v>
      </c>
      <c r="I46" s="30">
        <f>1-(E47/1000)</f>
        <v>0.69</v>
      </c>
      <c r="J46" s="88">
        <f>ROUND(POWER(E46/100,0.5),3)</f>
        <v>1.304</v>
      </c>
      <c r="K46" s="62">
        <f>(G48*J46*I46*N42)</f>
        <v>9.89736</v>
      </c>
      <c r="L46" s="62">
        <f>1+(L44-1)*(1-E50/500)</f>
        <v>1.2652</v>
      </c>
      <c r="M46" s="44">
        <f>M44+((1-M44)*0.5*E50/400)</f>
        <v>0.675375</v>
      </c>
      <c r="N46" s="62">
        <f>(E49+(Q46*N44))/1.3</f>
        <v>23.98076923</v>
      </c>
      <c r="O46" s="62">
        <f t="shared" ref="O46:P46" si="14">(D49+(P46*O44))/1.3</f>
        <v>26.92307692</v>
      </c>
      <c r="P46" s="62">
        <f t="shared" si="14"/>
        <v>29.86538462</v>
      </c>
      <c r="Q46" s="88">
        <f>3*(E48/100)</f>
        <v>2.55</v>
      </c>
      <c r="R46" s="62">
        <f>E48*1*(VLOOKUP(B46,SPIN!$M$27:$N$40,2,FALSE))</f>
        <v>5100</v>
      </c>
      <c r="S46" s="30">
        <f>E48*2*3.14/60</f>
        <v>8.896666667</v>
      </c>
      <c r="T46" s="45">
        <f t="shared" ref="T46:V46" si="15">$S46*T44*8</f>
        <v>7.117333333</v>
      </c>
      <c r="U46" s="45">
        <f t="shared" si="15"/>
        <v>94.66053333</v>
      </c>
      <c r="V46" s="46">
        <f t="shared" si="15"/>
        <v>-87.5432</v>
      </c>
    </row>
    <row r="47">
      <c r="A47" s="7"/>
      <c r="B47" s="89"/>
      <c r="C47" s="86" t="s">
        <v>54</v>
      </c>
      <c r="D47" s="21">
        <f>D37+5</f>
        <v>310</v>
      </c>
      <c r="E47" s="87">
        <f t="shared" si="16"/>
        <v>310</v>
      </c>
      <c r="F47" s="42"/>
      <c r="G47" s="30" t="s">
        <v>55</v>
      </c>
      <c r="H47" s="75"/>
      <c r="I47" s="23"/>
      <c r="J47" s="75"/>
      <c r="K47" s="75"/>
      <c r="L47" s="75"/>
      <c r="M47" s="75"/>
      <c r="N47" s="75"/>
      <c r="O47" s="75"/>
      <c r="P47" s="75"/>
      <c r="Q47" s="75"/>
      <c r="R47" s="75"/>
      <c r="S47" s="23"/>
      <c r="T47" s="27"/>
      <c r="U47" s="27"/>
      <c r="V47" s="31"/>
    </row>
    <row r="48">
      <c r="A48" s="7"/>
      <c r="B48" s="89"/>
      <c r="C48" s="86" t="s">
        <v>57</v>
      </c>
      <c r="D48" s="21">
        <f>D58</f>
        <v>85</v>
      </c>
      <c r="E48" s="87">
        <f t="shared" si="16"/>
        <v>85</v>
      </c>
      <c r="F48" s="42"/>
      <c r="G48" s="30">
        <f>G38</f>
        <v>11</v>
      </c>
      <c r="H48" s="75"/>
      <c r="I48" s="23"/>
      <c r="J48" s="75"/>
      <c r="K48" s="75"/>
      <c r="L48" s="75"/>
      <c r="M48" s="75"/>
      <c r="N48" s="75"/>
      <c r="O48" s="75"/>
      <c r="P48" s="75"/>
      <c r="Q48" s="75"/>
      <c r="R48" s="75"/>
      <c r="S48" s="23"/>
      <c r="T48" s="27"/>
      <c r="U48" s="27"/>
      <c r="V48" s="31"/>
    </row>
    <row r="49">
      <c r="A49" s="7"/>
      <c r="B49" s="89"/>
      <c r="C49" s="86" t="s">
        <v>59</v>
      </c>
      <c r="D49" s="48">
        <f>'DEFAULT CLUBS-COMMON'!D49</f>
        <v>35</v>
      </c>
      <c r="E49" s="87">
        <f t="shared" si="16"/>
        <v>35</v>
      </c>
      <c r="F49" s="49"/>
      <c r="G49" s="50"/>
      <c r="H49" s="75"/>
      <c r="I49" s="23"/>
      <c r="J49" s="75"/>
      <c r="K49" s="75"/>
      <c r="L49" s="75"/>
      <c r="M49" s="75"/>
      <c r="N49" s="75"/>
      <c r="O49" s="75"/>
      <c r="P49" s="75"/>
      <c r="Q49" s="75"/>
      <c r="R49" s="75"/>
      <c r="S49" s="23"/>
      <c r="T49" s="27"/>
      <c r="U49" s="27"/>
      <c r="V49" s="31"/>
    </row>
    <row r="50">
      <c r="A50" s="7"/>
      <c r="B50" s="89"/>
      <c r="C50" s="86" t="s">
        <v>61</v>
      </c>
      <c r="D50" s="59">
        <f>D60-10</f>
        <v>58</v>
      </c>
      <c r="E50" s="87">
        <f t="shared" si="16"/>
        <v>58</v>
      </c>
      <c r="F50" s="42"/>
      <c r="G50" s="50"/>
      <c r="H50" s="75"/>
      <c r="I50" s="23"/>
      <c r="J50" s="75"/>
      <c r="K50" s="75"/>
      <c r="L50" s="75"/>
      <c r="M50" s="75"/>
      <c r="N50" s="75"/>
      <c r="O50" s="75"/>
      <c r="P50" s="75"/>
      <c r="Q50" s="75"/>
      <c r="R50" s="75"/>
      <c r="S50" s="23"/>
      <c r="T50" s="27"/>
      <c r="U50" s="27"/>
      <c r="V50" s="31"/>
    </row>
    <row r="51">
      <c r="A51" s="7"/>
      <c r="B51" s="90"/>
      <c r="C51" s="91" t="s">
        <v>62</v>
      </c>
      <c r="D51" s="60">
        <f>D41</f>
        <v>250</v>
      </c>
      <c r="E51" s="92">
        <f t="shared" si="16"/>
        <v>250</v>
      </c>
      <c r="F51" s="61"/>
      <c r="G51" s="55"/>
      <c r="H51" s="93"/>
      <c r="I51" s="56"/>
      <c r="J51" s="93"/>
      <c r="K51" s="93"/>
      <c r="L51" s="93"/>
      <c r="M51" s="93"/>
      <c r="N51" s="93"/>
      <c r="O51" s="93"/>
      <c r="P51" s="93"/>
      <c r="Q51" s="93"/>
      <c r="R51" s="93"/>
      <c r="S51" s="56"/>
      <c r="T51" s="57"/>
      <c r="U51" s="57"/>
      <c r="V51" s="58"/>
    </row>
    <row r="52">
      <c r="A52" s="7"/>
      <c r="B52" s="64"/>
      <c r="C52" s="65"/>
      <c r="D52" s="66"/>
      <c r="E52" s="66"/>
      <c r="F52" s="12"/>
      <c r="G52" s="13"/>
      <c r="H52" s="68" t="s">
        <v>27</v>
      </c>
      <c r="I52" s="14"/>
      <c r="J52" s="68"/>
      <c r="K52" s="68" t="s">
        <v>28</v>
      </c>
      <c r="L52" s="69">
        <f>RANDBETWEEN(0,3)</f>
        <v>0</v>
      </c>
      <c r="M52" s="68" t="s">
        <v>29</v>
      </c>
      <c r="N52" s="70">
        <v>1.0</v>
      </c>
      <c r="O52" s="68"/>
      <c r="P52" s="68"/>
      <c r="Q52" s="68"/>
      <c r="R52" s="68"/>
      <c r="S52" s="16"/>
      <c r="T52" s="17"/>
      <c r="U52" s="17"/>
      <c r="V52" s="18"/>
    </row>
    <row r="53">
      <c r="A53" s="7"/>
      <c r="B53" s="71"/>
      <c r="C53" s="72"/>
      <c r="D53" s="73"/>
      <c r="E53" s="73"/>
      <c r="F53" s="21"/>
      <c r="G53" s="22"/>
      <c r="H53" s="75"/>
      <c r="I53" s="23"/>
      <c r="J53" s="75"/>
      <c r="K53" s="75"/>
      <c r="L53" s="76" t="s">
        <v>33</v>
      </c>
      <c r="M53" s="76" t="s">
        <v>33</v>
      </c>
      <c r="N53" s="75"/>
      <c r="O53" s="75"/>
      <c r="P53" s="75"/>
      <c r="Q53" s="75"/>
      <c r="R53" s="75"/>
      <c r="S53" s="25"/>
      <c r="T53" s="26"/>
      <c r="U53" s="27" t="s">
        <v>34</v>
      </c>
      <c r="V53" s="28"/>
    </row>
    <row r="54">
      <c r="A54" s="7"/>
      <c r="B54" s="71"/>
      <c r="C54" s="72"/>
      <c r="D54" s="73"/>
      <c r="E54" s="73"/>
      <c r="F54" s="29" t="s">
        <v>31</v>
      </c>
      <c r="G54" s="30"/>
      <c r="H54" s="75"/>
      <c r="I54" s="23"/>
      <c r="J54" s="75"/>
      <c r="K54" s="75"/>
      <c r="L54" s="78">
        <f>VLOOKUP(L53,RECOVERY!$AA$8:$AP$10,7,FALSE)</f>
        <v>1.3</v>
      </c>
      <c r="M54" s="78">
        <f>VLOOKUP(M53,RECOVERY!$AA$27:$AP$29,7,FALSE)</f>
        <v>0.65</v>
      </c>
      <c r="N54" s="78">
        <v>-1.5</v>
      </c>
      <c r="O54" s="78">
        <v>0.0</v>
      </c>
      <c r="P54" s="78">
        <v>1.5</v>
      </c>
      <c r="Q54" s="75"/>
      <c r="R54" s="78" t="s">
        <v>35</v>
      </c>
      <c r="S54" s="25"/>
      <c r="T54" s="27">
        <v>0.1</v>
      </c>
      <c r="U54" s="27">
        <v>1.33</v>
      </c>
      <c r="V54" s="31">
        <v>-1.23</v>
      </c>
    </row>
    <row r="55">
      <c r="A55" s="7"/>
      <c r="B55" s="79" t="s">
        <v>9</v>
      </c>
      <c r="C55" s="80"/>
      <c r="D55" s="81" t="s">
        <v>36</v>
      </c>
      <c r="E55" s="82" t="s">
        <v>37</v>
      </c>
      <c r="F55" s="29" t="str">
        <f>F45</f>
        <v>0/160</v>
      </c>
      <c r="G55" s="30" t="s">
        <v>38</v>
      </c>
      <c r="H55" s="83" t="s">
        <v>39</v>
      </c>
      <c r="I55" s="36" t="s">
        <v>40</v>
      </c>
      <c r="J55" s="83" t="s">
        <v>41</v>
      </c>
      <c r="K55" s="83" t="s">
        <v>42</v>
      </c>
      <c r="L55" s="83" t="s">
        <v>43</v>
      </c>
      <c r="M55" s="83" t="s">
        <v>44</v>
      </c>
      <c r="N55" s="83" t="s">
        <v>45</v>
      </c>
      <c r="O55" s="83" t="s">
        <v>46</v>
      </c>
      <c r="P55" s="83" t="s">
        <v>47</v>
      </c>
      <c r="Q55" s="84" t="s">
        <v>48</v>
      </c>
      <c r="R55" s="36" t="s">
        <v>49</v>
      </c>
      <c r="S55" s="30" t="s">
        <v>50</v>
      </c>
      <c r="T55" s="37" t="s">
        <v>51</v>
      </c>
      <c r="U55" s="37" t="s">
        <v>45</v>
      </c>
      <c r="V55" s="38" t="s">
        <v>47</v>
      </c>
    </row>
    <row r="56">
      <c r="A56" s="7"/>
      <c r="B56" s="85" t="s">
        <v>17</v>
      </c>
      <c r="C56" s="86" t="s">
        <v>52</v>
      </c>
      <c r="D56" s="21">
        <f>D46-10</f>
        <v>160</v>
      </c>
      <c r="E56" s="87">
        <f t="shared" ref="E56:E61" si="19">D56+F56</f>
        <v>160</v>
      </c>
      <c r="F56" s="42"/>
      <c r="G56" s="30">
        <f>G46</f>
        <v>45</v>
      </c>
      <c r="H56" s="62">
        <f>$G$6+(E56/2)+$AB$6+(Z56/2)+$L$2</f>
        <v>156</v>
      </c>
      <c r="I56" s="30">
        <f>1-(E57/1000)</f>
        <v>0.69</v>
      </c>
      <c r="J56" s="88">
        <f>ROUND(POWER(E56/100,0.5),3)</f>
        <v>1.265</v>
      </c>
      <c r="K56" s="62">
        <f>(G58*J56*I56*N52)</f>
        <v>9.60135</v>
      </c>
      <c r="L56" s="62">
        <f>1+(L54-1)*(1-E60/500)</f>
        <v>1.2592</v>
      </c>
      <c r="M56" s="44">
        <f>M54+((1-M54)*0.5*E60/400)</f>
        <v>0.67975</v>
      </c>
      <c r="N56" s="62">
        <f>(E59+(Q56*N54))/1.3</f>
        <v>23.98076923</v>
      </c>
      <c r="O56" s="62">
        <f t="shared" ref="O56:P56" si="17">(D59+(P56*O54))/1.3</f>
        <v>26.92307692</v>
      </c>
      <c r="P56" s="62">
        <f t="shared" si="17"/>
        <v>29.86538462</v>
      </c>
      <c r="Q56" s="88">
        <f>3*(E58/100)</f>
        <v>2.55</v>
      </c>
      <c r="R56" s="62">
        <f>E58*1*(VLOOKUP(B56,SPIN!$M$27:$N$40,2,FALSE))</f>
        <v>5100</v>
      </c>
      <c r="S56" s="30">
        <f>E58*2*3.14/60</f>
        <v>8.896666667</v>
      </c>
      <c r="T56" s="45">
        <f t="shared" ref="T56:V56" si="18">$S56*T54*8</f>
        <v>7.117333333</v>
      </c>
      <c r="U56" s="45">
        <f t="shared" si="18"/>
        <v>94.66053333</v>
      </c>
      <c r="V56" s="46">
        <f t="shared" si="18"/>
        <v>-87.5432</v>
      </c>
    </row>
    <row r="57">
      <c r="A57" s="7"/>
      <c r="B57" s="89"/>
      <c r="C57" s="86" t="s">
        <v>54</v>
      </c>
      <c r="D57" s="21">
        <f>D47</f>
        <v>310</v>
      </c>
      <c r="E57" s="87">
        <f t="shared" si="19"/>
        <v>310</v>
      </c>
      <c r="F57" s="42"/>
      <c r="G57" s="30" t="s">
        <v>55</v>
      </c>
      <c r="H57" s="75"/>
      <c r="I57" s="23"/>
      <c r="J57" s="75"/>
      <c r="K57" s="75"/>
      <c r="L57" s="75"/>
      <c r="M57" s="75"/>
      <c r="N57" s="75"/>
      <c r="O57" s="75"/>
      <c r="P57" s="75"/>
      <c r="Q57" s="75"/>
      <c r="R57" s="75"/>
      <c r="S57" s="23"/>
      <c r="T57" s="27"/>
      <c r="U57" s="27"/>
      <c r="V57" s="31"/>
    </row>
    <row r="58">
      <c r="A58" s="7"/>
      <c r="B58" s="89"/>
      <c r="C58" s="86" t="s">
        <v>57</v>
      </c>
      <c r="D58" s="21">
        <f>D68-10</f>
        <v>85</v>
      </c>
      <c r="E58" s="87">
        <f t="shared" si="19"/>
        <v>85</v>
      </c>
      <c r="F58" s="42"/>
      <c r="G58" s="30">
        <f>G48</f>
        <v>11</v>
      </c>
      <c r="H58" s="75"/>
      <c r="I58" s="23"/>
      <c r="J58" s="75"/>
      <c r="K58" s="75"/>
      <c r="L58" s="75"/>
      <c r="M58" s="75"/>
      <c r="N58" s="75"/>
      <c r="O58" s="75"/>
      <c r="P58" s="75"/>
      <c r="Q58" s="75"/>
      <c r="R58" s="75"/>
      <c r="S58" s="23"/>
      <c r="T58" s="27"/>
      <c r="U58" s="27"/>
      <c r="V58" s="31"/>
    </row>
    <row r="59">
      <c r="A59" s="7"/>
      <c r="B59" s="89"/>
      <c r="C59" s="86" t="s">
        <v>59</v>
      </c>
      <c r="D59" s="48">
        <f>'DEFAULT CLUBS-COMMON'!D59</f>
        <v>35</v>
      </c>
      <c r="E59" s="87">
        <f t="shared" si="19"/>
        <v>35</v>
      </c>
      <c r="F59" s="49"/>
      <c r="G59" s="50"/>
      <c r="H59" s="75"/>
      <c r="I59" s="23"/>
      <c r="J59" s="75"/>
      <c r="K59" s="75"/>
      <c r="L59" s="75"/>
      <c r="M59" s="75"/>
      <c r="N59" s="75"/>
      <c r="O59" s="75"/>
      <c r="P59" s="75"/>
      <c r="Q59" s="75"/>
      <c r="R59" s="75"/>
      <c r="S59" s="23"/>
      <c r="T59" s="27"/>
      <c r="U59" s="27"/>
      <c r="V59" s="31"/>
    </row>
    <row r="60">
      <c r="A60" s="7"/>
      <c r="B60" s="89"/>
      <c r="C60" s="86" t="s">
        <v>61</v>
      </c>
      <c r="D60" s="59">
        <f>D70</f>
        <v>68</v>
      </c>
      <c r="E60" s="87">
        <f t="shared" si="19"/>
        <v>68</v>
      </c>
      <c r="F60" s="42"/>
      <c r="G60" s="50"/>
      <c r="H60" s="75"/>
      <c r="I60" s="23"/>
      <c r="J60" s="75"/>
      <c r="K60" s="75"/>
      <c r="L60" s="75"/>
      <c r="M60" s="75"/>
      <c r="N60" s="75"/>
      <c r="O60" s="75"/>
      <c r="P60" s="75"/>
      <c r="Q60" s="75"/>
      <c r="R60" s="75"/>
      <c r="S60" s="23"/>
      <c r="T60" s="27"/>
      <c r="U60" s="27"/>
      <c r="V60" s="31"/>
    </row>
    <row r="61">
      <c r="A61" s="7"/>
      <c r="B61" s="90"/>
      <c r="C61" s="91" t="s">
        <v>62</v>
      </c>
      <c r="D61" s="60">
        <f>D51</f>
        <v>250</v>
      </c>
      <c r="E61" s="92">
        <f t="shared" si="19"/>
        <v>250</v>
      </c>
      <c r="F61" s="61"/>
      <c r="G61" s="55"/>
      <c r="H61" s="93"/>
      <c r="I61" s="56"/>
      <c r="J61" s="93"/>
      <c r="K61" s="93"/>
      <c r="L61" s="93"/>
      <c r="M61" s="93"/>
      <c r="N61" s="93"/>
      <c r="O61" s="93"/>
      <c r="P61" s="93"/>
      <c r="Q61" s="93"/>
      <c r="R61" s="93"/>
      <c r="S61" s="56"/>
      <c r="T61" s="57"/>
      <c r="U61" s="57"/>
      <c r="V61" s="58"/>
    </row>
    <row r="62">
      <c r="A62" s="7"/>
      <c r="B62" s="64"/>
      <c r="C62" s="65"/>
      <c r="D62" s="66"/>
      <c r="E62" s="66"/>
      <c r="F62" s="12"/>
      <c r="G62" s="13"/>
      <c r="H62" s="68" t="s">
        <v>27</v>
      </c>
      <c r="I62" s="14"/>
      <c r="J62" s="68"/>
      <c r="K62" s="68" t="s">
        <v>28</v>
      </c>
      <c r="L62" s="69">
        <f>RANDBETWEEN(0,3)</f>
        <v>2</v>
      </c>
      <c r="M62" s="68" t="s">
        <v>29</v>
      </c>
      <c r="N62" s="70">
        <v>1.0</v>
      </c>
      <c r="O62" s="68"/>
      <c r="P62" s="68"/>
      <c r="Q62" s="68"/>
      <c r="R62" s="68"/>
      <c r="S62" s="16"/>
      <c r="T62" s="17"/>
      <c r="U62" s="17"/>
      <c r="V62" s="18"/>
    </row>
    <row r="63">
      <c r="A63" s="7"/>
      <c r="B63" s="71"/>
      <c r="C63" s="72"/>
      <c r="D63" s="73"/>
      <c r="E63" s="73"/>
      <c r="F63" s="21"/>
      <c r="G63" s="22"/>
      <c r="H63" s="75"/>
      <c r="I63" s="23"/>
      <c r="J63" s="75"/>
      <c r="K63" s="75"/>
      <c r="L63" s="76" t="s">
        <v>33</v>
      </c>
      <c r="M63" s="76" t="s">
        <v>33</v>
      </c>
      <c r="N63" s="75"/>
      <c r="O63" s="75"/>
      <c r="P63" s="75"/>
      <c r="Q63" s="75"/>
      <c r="R63" s="75"/>
      <c r="S63" s="25"/>
      <c r="T63" s="26"/>
      <c r="U63" s="27" t="s">
        <v>34</v>
      </c>
      <c r="V63" s="28"/>
    </row>
    <row r="64">
      <c r="A64" s="7"/>
      <c r="B64" s="71"/>
      <c r="C64" s="72"/>
      <c r="D64" s="73"/>
      <c r="E64" s="73"/>
      <c r="F64" s="29" t="s">
        <v>31</v>
      </c>
      <c r="G64" s="30"/>
      <c r="H64" s="75"/>
      <c r="I64" s="23"/>
      <c r="J64" s="75"/>
      <c r="K64" s="75"/>
      <c r="L64" s="78">
        <f>VLOOKUP(L63,RECOVERY!$AA$8:$AP$10,8,FALSE)</f>
        <v>1.25</v>
      </c>
      <c r="M64" s="78">
        <f>VLOOKUP(M63,RECOVERY!$AA$27:$AP$29,8,FALSE)</f>
        <v>0.75</v>
      </c>
      <c r="N64" s="78">
        <v>-1.5</v>
      </c>
      <c r="O64" s="78">
        <v>0.0</v>
      </c>
      <c r="P64" s="78">
        <v>1.5</v>
      </c>
      <c r="Q64" s="75"/>
      <c r="R64" s="78" t="s">
        <v>35</v>
      </c>
      <c r="S64" s="25"/>
      <c r="T64" s="27">
        <v>0.1</v>
      </c>
      <c r="U64" s="27">
        <v>1.33</v>
      </c>
      <c r="V64" s="31">
        <v>-1.23</v>
      </c>
    </row>
    <row r="65">
      <c r="A65" s="7"/>
      <c r="B65" s="79" t="s">
        <v>9</v>
      </c>
      <c r="C65" s="80"/>
      <c r="D65" s="81" t="s">
        <v>36</v>
      </c>
      <c r="E65" s="82" t="s">
        <v>37</v>
      </c>
      <c r="F65" s="29" t="str">
        <f>F55</f>
        <v>0/160</v>
      </c>
      <c r="G65" s="30" t="s">
        <v>38</v>
      </c>
      <c r="H65" s="83" t="s">
        <v>39</v>
      </c>
      <c r="I65" s="36" t="s">
        <v>40</v>
      </c>
      <c r="J65" s="83" t="s">
        <v>41</v>
      </c>
      <c r="K65" s="83" t="s">
        <v>42</v>
      </c>
      <c r="L65" s="83" t="s">
        <v>43</v>
      </c>
      <c r="M65" s="83" t="s">
        <v>44</v>
      </c>
      <c r="N65" s="83" t="s">
        <v>45</v>
      </c>
      <c r="O65" s="83" t="s">
        <v>46</v>
      </c>
      <c r="P65" s="83" t="s">
        <v>47</v>
      </c>
      <c r="Q65" s="84" t="s">
        <v>48</v>
      </c>
      <c r="R65" s="36" t="s">
        <v>49</v>
      </c>
      <c r="S65" s="30" t="s">
        <v>50</v>
      </c>
      <c r="T65" s="37" t="s">
        <v>51</v>
      </c>
      <c r="U65" s="37" t="s">
        <v>45</v>
      </c>
      <c r="V65" s="38" t="s">
        <v>47</v>
      </c>
    </row>
    <row r="66">
      <c r="A66" s="7"/>
      <c r="B66" s="85" t="s">
        <v>18</v>
      </c>
      <c r="C66" s="86" t="s">
        <v>52</v>
      </c>
      <c r="D66" s="21">
        <f>D56-10</f>
        <v>150</v>
      </c>
      <c r="E66" s="87">
        <f t="shared" ref="E66:E71" si="22">D66+F66</f>
        <v>150</v>
      </c>
      <c r="F66" s="42"/>
      <c r="G66" s="30">
        <f>G56</f>
        <v>45</v>
      </c>
      <c r="H66" s="62">
        <f>$G$6+(E66/2)+$AB$6+(Z66/2)+$L$2</f>
        <v>151</v>
      </c>
      <c r="I66" s="30">
        <f>1-(E67/1000)</f>
        <v>0.685</v>
      </c>
      <c r="J66" s="88">
        <f>ROUND(POWER(E66/100,0.5),3)</f>
        <v>1.225</v>
      </c>
      <c r="K66" s="62">
        <f>(G68*J66*I66*N62)</f>
        <v>9.230375</v>
      </c>
      <c r="L66" s="62">
        <f>1+(L64-1)*(1-E70/500)</f>
        <v>1.216</v>
      </c>
      <c r="M66" s="44">
        <f>M64+((1-M64)*0.5*E70/400)</f>
        <v>0.77125</v>
      </c>
      <c r="N66" s="62">
        <f>(E69+(Q66*N64))/1.3</f>
        <v>23.63461538</v>
      </c>
      <c r="O66" s="62">
        <f t="shared" ref="O66:P66" si="20">(D69+(P66*O64))/1.3</f>
        <v>26.92307692</v>
      </c>
      <c r="P66" s="62">
        <f t="shared" si="20"/>
        <v>30.21153846</v>
      </c>
      <c r="Q66" s="88">
        <f>3*(E68/100)</f>
        <v>2.85</v>
      </c>
      <c r="R66" s="62">
        <f>E68*1*(VLOOKUP(B66,SPIN!$M$27:$N$40,2,FALSE))</f>
        <v>6650</v>
      </c>
      <c r="S66" s="30">
        <f>E68*2*3.14/60</f>
        <v>9.943333333</v>
      </c>
      <c r="T66" s="45">
        <f t="shared" ref="T66:V66" si="21">$S66*T64*8</f>
        <v>7.954666667</v>
      </c>
      <c r="U66" s="45">
        <f t="shared" si="21"/>
        <v>105.7970667</v>
      </c>
      <c r="V66" s="46">
        <f t="shared" si="21"/>
        <v>-97.8424</v>
      </c>
    </row>
    <row r="67">
      <c r="A67" s="7"/>
      <c r="B67" s="89"/>
      <c r="C67" s="86" t="s">
        <v>54</v>
      </c>
      <c r="D67" s="21">
        <f>D57+5</f>
        <v>315</v>
      </c>
      <c r="E67" s="87">
        <f t="shared" si="22"/>
        <v>315</v>
      </c>
      <c r="F67" s="42"/>
      <c r="G67" s="30" t="s">
        <v>55</v>
      </c>
      <c r="H67" s="75"/>
      <c r="I67" s="23"/>
      <c r="J67" s="75"/>
      <c r="K67" s="75"/>
      <c r="L67" s="75"/>
      <c r="M67" s="75"/>
      <c r="N67" s="75"/>
      <c r="O67" s="75"/>
      <c r="P67" s="75"/>
      <c r="Q67" s="75"/>
      <c r="R67" s="75"/>
      <c r="S67" s="23"/>
      <c r="T67" s="27"/>
      <c r="U67" s="27"/>
      <c r="V67" s="31"/>
    </row>
    <row r="68">
      <c r="A68" s="7"/>
      <c r="B68" s="89"/>
      <c r="C68" s="86" t="s">
        <v>57</v>
      </c>
      <c r="D68" s="21">
        <f>D78</f>
        <v>95</v>
      </c>
      <c r="E68" s="87">
        <f t="shared" si="22"/>
        <v>95</v>
      </c>
      <c r="F68" s="42"/>
      <c r="G68" s="30">
        <f>G58</f>
        <v>11</v>
      </c>
      <c r="H68" s="75"/>
      <c r="I68" s="23"/>
      <c r="J68" s="75"/>
      <c r="K68" s="75"/>
      <c r="L68" s="75"/>
      <c r="M68" s="75"/>
      <c r="N68" s="75"/>
      <c r="O68" s="75"/>
      <c r="P68" s="75"/>
      <c r="Q68" s="75"/>
      <c r="R68" s="75"/>
      <c r="S68" s="23"/>
      <c r="T68" s="27"/>
      <c r="U68" s="27"/>
      <c r="V68" s="31"/>
    </row>
    <row r="69">
      <c r="A69" s="7"/>
      <c r="B69" s="89"/>
      <c r="C69" s="86" t="s">
        <v>59</v>
      </c>
      <c r="D69" s="48">
        <f>'DEFAULT CLUBS-COMMON'!D69</f>
        <v>35</v>
      </c>
      <c r="E69" s="87">
        <f t="shared" si="22"/>
        <v>35</v>
      </c>
      <c r="F69" s="49"/>
      <c r="G69" s="50"/>
      <c r="H69" s="75"/>
      <c r="I69" s="23"/>
      <c r="J69" s="75"/>
      <c r="K69" s="75"/>
      <c r="L69" s="75"/>
      <c r="M69" s="75"/>
      <c r="N69" s="75"/>
      <c r="O69" s="75"/>
      <c r="P69" s="75"/>
      <c r="Q69" s="75"/>
      <c r="R69" s="75"/>
      <c r="S69" s="23"/>
      <c r="T69" s="27"/>
      <c r="U69" s="27"/>
      <c r="V69" s="31"/>
    </row>
    <row r="70">
      <c r="A70" s="7"/>
      <c r="B70" s="89"/>
      <c r="C70" s="86" t="s">
        <v>61</v>
      </c>
      <c r="D70" s="59">
        <f>D80</f>
        <v>68</v>
      </c>
      <c r="E70" s="87">
        <f t="shared" si="22"/>
        <v>68</v>
      </c>
      <c r="F70" s="42"/>
      <c r="G70" s="50"/>
      <c r="H70" s="75"/>
      <c r="I70" s="23"/>
      <c r="J70" s="75"/>
      <c r="K70" s="75"/>
      <c r="L70" s="75"/>
      <c r="M70" s="75"/>
      <c r="N70" s="75"/>
      <c r="O70" s="75"/>
      <c r="P70" s="75"/>
      <c r="Q70" s="75"/>
      <c r="R70" s="75"/>
      <c r="S70" s="23"/>
      <c r="T70" s="27"/>
      <c r="U70" s="27"/>
      <c r="V70" s="31"/>
    </row>
    <row r="71">
      <c r="A71" s="7"/>
      <c r="B71" s="95"/>
      <c r="C71" s="91" t="s">
        <v>62</v>
      </c>
      <c r="D71" s="60">
        <f>D61</f>
        <v>250</v>
      </c>
      <c r="E71" s="92">
        <f t="shared" si="22"/>
        <v>250</v>
      </c>
      <c r="F71" s="61"/>
      <c r="G71" s="55"/>
      <c r="H71" s="93"/>
      <c r="I71" s="56"/>
      <c r="J71" s="93"/>
      <c r="K71" s="93"/>
      <c r="L71" s="93"/>
      <c r="M71" s="93"/>
      <c r="N71" s="93"/>
      <c r="O71" s="93"/>
      <c r="P71" s="93"/>
      <c r="Q71" s="93"/>
      <c r="R71" s="93"/>
      <c r="S71" s="56"/>
      <c r="T71" s="57"/>
      <c r="U71" s="57"/>
      <c r="V71" s="58"/>
    </row>
    <row r="72">
      <c r="A72" s="7"/>
      <c r="B72" s="64"/>
      <c r="C72" s="65"/>
      <c r="D72" s="66"/>
      <c r="E72" s="66"/>
      <c r="F72" s="12"/>
      <c r="G72" s="13"/>
      <c r="H72" s="68" t="s">
        <v>27</v>
      </c>
      <c r="I72" s="14"/>
      <c r="J72" s="68"/>
      <c r="K72" s="68" t="s">
        <v>28</v>
      </c>
      <c r="L72" s="69">
        <f>RANDBETWEEN(0,3)</f>
        <v>1</v>
      </c>
      <c r="M72" s="68" t="s">
        <v>29</v>
      </c>
      <c r="N72" s="70">
        <v>1.0</v>
      </c>
      <c r="O72" s="68"/>
      <c r="P72" s="68"/>
      <c r="Q72" s="68"/>
      <c r="R72" s="68"/>
      <c r="S72" s="16"/>
      <c r="T72" s="17"/>
      <c r="U72" s="17"/>
      <c r="V72" s="18"/>
    </row>
    <row r="73">
      <c r="A73" s="7"/>
      <c r="B73" s="71"/>
      <c r="C73" s="72"/>
      <c r="D73" s="73"/>
      <c r="E73" s="73"/>
      <c r="F73" s="21"/>
      <c r="G73" s="22"/>
      <c r="H73" s="75"/>
      <c r="I73" s="23"/>
      <c r="J73" s="75"/>
      <c r="K73" s="75"/>
      <c r="L73" s="76" t="s">
        <v>33</v>
      </c>
      <c r="M73" s="76" t="s">
        <v>33</v>
      </c>
      <c r="N73" s="75"/>
      <c r="O73" s="75"/>
      <c r="P73" s="75"/>
      <c r="Q73" s="75"/>
      <c r="R73" s="75"/>
      <c r="S73" s="25"/>
      <c r="T73" s="26"/>
      <c r="U73" s="27" t="s">
        <v>34</v>
      </c>
      <c r="V73" s="28"/>
    </row>
    <row r="74">
      <c r="A74" s="7"/>
      <c r="B74" s="71"/>
      <c r="C74" s="72"/>
      <c r="D74" s="73"/>
      <c r="E74" s="73"/>
      <c r="F74" s="29" t="s">
        <v>31</v>
      </c>
      <c r="G74" s="30"/>
      <c r="H74" s="75"/>
      <c r="I74" s="23"/>
      <c r="J74" s="75"/>
      <c r="K74" s="75"/>
      <c r="L74" s="78">
        <f>VLOOKUP(L73,RECOVERY!$AA$8:$AP$10,9,FALSE)</f>
        <v>1.25</v>
      </c>
      <c r="M74" s="78">
        <f>VLOOKUP(M73,RECOVERY!$AA$27:$AP$29,9,FALSE)</f>
        <v>0.75</v>
      </c>
      <c r="N74" s="78">
        <v>-1.5</v>
      </c>
      <c r="O74" s="78">
        <v>0.0</v>
      </c>
      <c r="P74" s="78">
        <v>1.5</v>
      </c>
      <c r="Q74" s="75"/>
      <c r="R74" s="78" t="s">
        <v>35</v>
      </c>
      <c r="S74" s="25"/>
      <c r="T74" s="27">
        <v>0.1</v>
      </c>
      <c r="U74" s="27">
        <v>1.33</v>
      </c>
      <c r="V74" s="31">
        <v>-1.23</v>
      </c>
    </row>
    <row r="75">
      <c r="A75" s="7"/>
      <c r="B75" s="79" t="s">
        <v>9</v>
      </c>
      <c r="C75" s="80"/>
      <c r="D75" s="81" t="s">
        <v>36</v>
      </c>
      <c r="E75" s="82" t="s">
        <v>37</v>
      </c>
      <c r="F75" s="29" t="str">
        <f>F65</f>
        <v>0/160</v>
      </c>
      <c r="G75" s="30" t="s">
        <v>38</v>
      </c>
      <c r="H75" s="83" t="s">
        <v>39</v>
      </c>
      <c r="I75" s="36" t="s">
        <v>40</v>
      </c>
      <c r="J75" s="83" t="s">
        <v>41</v>
      </c>
      <c r="K75" s="83" t="s">
        <v>42</v>
      </c>
      <c r="L75" s="83" t="s">
        <v>43</v>
      </c>
      <c r="M75" s="83" t="s">
        <v>44</v>
      </c>
      <c r="N75" s="83" t="s">
        <v>45</v>
      </c>
      <c r="O75" s="83" t="s">
        <v>46</v>
      </c>
      <c r="P75" s="83" t="s">
        <v>47</v>
      </c>
      <c r="Q75" s="84" t="s">
        <v>48</v>
      </c>
      <c r="R75" s="36" t="s">
        <v>49</v>
      </c>
      <c r="S75" s="30" t="s">
        <v>50</v>
      </c>
      <c r="T75" s="37" t="s">
        <v>51</v>
      </c>
      <c r="U75" s="37" t="s">
        <v>45</v>
      </c>
      <c r="V75" s="38" t="s">
        <v>47</v>
      </c>
    </row>
    <row r="76">
      <c r="A76" s="7"/>
      <c r="B76" s="85" t="s">
        <v>19</v>
      </c>
      <c r="C76" s="86" t="s">
        <v>52</v>
      </c>
      <c r="D76" s="21">
        <f>D66-10</f>
        <v>140</v>
      </c>
      <c r="E76" s="87">
        <f t="shared" ref="E76:E81" si="25">D76+F76</f>
        <v>140</v>
      </c>
      <c r="F76" s="42"/>
      <c r="G76" s="30">
        <f>G66</f>
        <v>45</v>
      </c>
      <c r="H76" s="62">
        <f>$G$6+(E76/2)+$AB$6+(Z76/2)+$L$2</f>
        <v>146</v>
      </c>
      <c r="I76" s="30">
        <f>1-(E77/1000)</f>
        <v>0.685</v>
      </c>
      <c r="J76" s="88">
        <f>ROUND(POWER(E76/100,0.5),3)</f>
        <v>1.183</v>
      </c>
      <c r="K76" s="62">
        <f>(G78*J76*I76*N72)</f>
        <v>8.913905</v>
      </c>
      <c r="L76" s="62">
        <f>1+(L74-1)*(1-E80/500)</f>
        <v>1.216</v>
      </c>
      <c r="M76" s="44">
        <f>M74+((1-M74)*0.5*E80/400)</f>
        <v>0.77125</v>
      </c>
      <c r="N76" s="62">
        <f>(E79+(Q76*N74))/1.3</f>
        <v>23.63461538</v>
      </c>
      <c r="O76" s="62">
        <f t="shared" ref="O76:P76" si="23">(D79+(P76*O74))/1.3</f>
        <v>26.92307692</v>
      </c>
      <c r="P76" s="62">
        <f t="shared" si="23"/>
        <v>30.21153846</v>
      </c>
      <c r="Q76" s="88">
        <f>3*(E78/100)</f>
        <v>2.85</v>
      </c>
      <c r="R76" s="62">
        <f>E78*1*(VLOOKUP(B76,SPIN!$M$27:$N$40,2,FALSE))</f>
        <v>6650</v>
      </c>
      <c r="S76" s="30">
        <f>E78*2*3.14/60</f>
        <v>9.943333333</v>
      </c>
      <c r="T76" s="45">
        <f t="shared" ref="T76:V76" si="24">$S76*T74*8</f>
        <v>7.954666667</v>
      </c>
      <c r="U76" s="45">
        <f t="shared" si="24"/>
        <v>105.7970667</v>
      </c>
      <c r="V76" s="46">
        <f t="shared" si="24"/>
        <v>-97.8424</v>
      </c>
    </row>
    <row r="77">
      <c r="A77" s="7"/>
      <c r="B77" s="89"/>
      <c r="C77" s="86" t="s">
        <v>54</v>
      </c>
      <c r="D77" s="21">
        <f>D67</f>
        <v>315</v>
      </c>
      <c r="E77" s="87">
        <f t="shared" si="25"/>
        <v>315</v>
      </c>
      <c r="F77" s="42"/>
      <c r="G77" s="30" t="s">
        <v>55</v>
      </c>
      <c r="H77" s="75"/>
      <c r="I77" s="23"/>
      <c r="J77" s="75"/>
      <c r="K77" s="75"/>
      <c r="L77" s="75"/>
      <c r="M77" s="75"/>
      <c r="N77" s="75"/>
      <c r="O77" s="75"/>
      <c r="P77" s="75"/>
      <c r="Q77" s="75"/>
      <c r="R77" s="75"/>
      <c r="S77" s="23"/>
      <c r="T77" s="27"/>
      <c r="U77" s="27"/>
      <c r="V77" s="31"/>
    </row>
    <row r="78">
      <c r="A78" s="7"/>
      <c r="B78" s="89"/>
      <c r="C78" s="86" t="s">
        <v>57</v>
      </c>
      <c r="D78" s="21">
        <f>D88</f>
        <v>95</v>
      </c>
      <c r="E78" s="87">
        <f t="shared" si="25"/>
        <v>95</v>
      </c>
      <c r="F78" s="42"/>
      <c r="G78" s="30">
        <f>G68</f>
        <v>11</v>
      </c>
      <c r="H78" s="75"/>
      <c r="I78" s="23"/>
      <c r="J78" s="75"/>
      <c r="K78" s="75"/>
      <c r="L78" s="75"/>
      <c r="M78" s="75"/>
      <c r="N78" s="75"/>
      <c r="O78" s="75"/>
      <c r="P78" s="75"/>
      <c r="Q78" s="75"/>
      <c r="R78" s="75"/>
      <c r="S78" s="23"/>
      <c r="T78" s="27"/>
      <c r="U78" s="27"/>
      <c r="V78" s="31"/>
    </row>
    <row r="79">
      <c r="A79" s="7"/>
      <c r="B79" s="89"/>
      <c r="C79" s="86" t="s">
        <v>59</v>
      </c>
      <c r="D79" s="48">
        <f>'DEFAULT CLUBS-COMMON'!D79</f>
        <v>35</v>
      </c>
      <c r="E79" s="87">
        <f t="shared" si="25"/>
        <v>35</v>
      </c>
      <c r="F79" s="49"/>
      <c r="G79" s="50"/>
      <c r="H79" s="75"/>
      <c r="I79" s="23"/>
      <c r="J79" s="75"/>
      <c r="K79" s="75"/>
      <c r="L79" s="75"/>
      <c r="M79" s="75"/>
      <c r="N79" s="75"/>
      <c r="O79" s="75"/>
      <c r="P79" s="75"/>
      <c r="Q79" s="75"/>
      <c r="R79" s="75"/>
      <c r="S79" s="23"/>
      <c r="T79" s="27"/>
      <c r="U79" s="27"/>
      <c r="V79" s="31"/>
    </row>
    <row r="80">
      <c r="A80" s="7"/>
      <c r="B80" s="89"/>
      <c r="C80" s="86" t="s">
        <v>61</v>
      </c>
      <c r="D80" s="59">
        <f>D90-12</f>
        <v>68</v>
      </c>
      <c r="E80" s="87">
        <f t="shared" si="25"/>
        <v>68</v>
      </c>
      <c r="F80" s="42"/>
      <c r="G80" s="50"/>
      <c r="H80" s="75"/>
      <c r="I80" s="23"/>
      <c r="J80" s="75"/>
      <c r="K80" s="75"/>
      <c r="L80" s="75"/>
      <c r="M80" s="75"/>
      <c r="N80" s="75"/>
      <c r="O80" s="75"/>
      <c r="P80" s="75"/>
      <c r="Q80" s="75"/>
      <c r="R80" s="75"/>
      <c r="S80" s="23"/>
      <c r="T80" s="27"/>
      <c r="U80" s="27"/>
      <c r="V80" s="31"/>
    </row>
    <row r="81">
      <c r="A81" s="7"/>
      <c r="B81" s="90"/>
      <c r="C81" s="91" t="s">
        <v>62</v>
      </c>
      <c r="D81" s="60">
        <f>D71</f>
        <v>250</v>
      </c>
      <c r="E81" s="92">
        <f t="shared" si="25"/>
        <v>250</v>
      </c>
      <c r="F81" s="61"/>
      <c r="G81" s="55"/>
      <c r="H81" s="93"/>
      <c r="I81" s="56"/>
      <c r="J81" s="93"/>
      <c r="K81" s="93"/>
      <c r="L81" s="93"/>
      <c r="M81" s="93"/>
      <c r="N81" s="93"/>
      <c r="O81" s="93"/>
      <c r="P81" s="93"/>
      <c r="Q81" s="93"/>
      <c r="R81" s="93"/>
      <c r="S81" s="56"/>
      <c r="T81" s="57"/>
      <c r="U81" s="57"/>
      <c r="V81" s="58"/>
    </row>
    <row r="82">
      <c r="A82" s="7"/>
      <c r="B82" s="64"/>
      <c r="C82" s="65"/>
      <c r="D82" s="66"/>
      <c r="E82" s="66"/>
      <c r="F82" s="12"/>
      <c r="G82" s="13"/>
      <c r="H82" s="68" t="s">
        <v>27</v>
      </c>
      <c r="I82" s="14"/>
      <c r="J82" s="68"/>
      <c r="K82" s="68" t="s">
        <v>28</v>
      </c>
      <c r="L82" s="69">
        <f>RANDBETWEEN(0,3)</f>
        <v>0</v>
      </c>
      <c r="M82" s="68" t="s">
        <v>29</v>
      </c>
      <c r="N82" s="70">
        <v>1.0</v>
      </c>
      <c r="O82" s="68"/>
      <c r="P82" s="68"/>
      <c r="Q82" s="68"/>
      <c r="R82" s="68"/>
      <c r="S82" s="16"/>
      <c r="T82" s="17"/>
      <c r="U82" s="17"/>
      <c r="V82" s="18"/>
    </row>
    <row r="83">
      <c r="A83" s="7"/>
      <c r="B83" s="71"/>
      <c r="C83" s="72"/>
      <c r="D83" s="73"/>
      <c r="E83" s="73"/>
      <c r="F83" s="21"/>
      <c r="G83" s="22"/>
      <c r="H83" s="75"/>
      <c r="I83" s="23"/>
      <c r="J83" s="75"/>
      <c r="K83" s="75"/>
      <c r="L83" s="76" t="s">
        <v>33</v>
      </c>
      <c r="M83" s="76" t="s">
        <v>33</v>
      </c>
      <c r="N83" s="75"/>
      <c r="O83" s="75"/>
      <c r="P83" s="75"/>
      <c r="Q83" s="75"/>
      <c r="R83" s="75"/>
      <c r="S83" s="25"/>
      <c r="T83" s="26"/>
      <c r="U83" s="27" t="s">
        <v>34</v>
      </c>
      <c r="V83" s="28"/>
    </row>
    <row r="84">
      <c r="A84" s="7"/>
      <c r="B84" s="71"/>
      <c r="C84" s="72"/>
      <c r="D84" s="73"/>
      <c r="E84" s="73"/>
      <c r="F84" s="29" t="s">
        <v>31</v>
      </c>
      <c r="G84" s="30"/>
      <c r="H84" s="75"/>
      <c r="I84" s="23"/>
      <c r="J84" s="75"/>
      <c r="K84" s="75"/>
      <c r="L84" s="78">
        <f>VLOOKUP(L83,RECOVERY!$AA$8:$AP$10,10,FALSE)</f>
        <v>1.25</v>
      </c>
      <c r="M84" s="78">
        <f>VLOOKUP(M83,RECOVERY!$AA$27:$AP$29,10,FALSE)</f>
        <v>0.75</v>
      </c>
      <c r="N84" s="78">
        <v>-1.5</v>
      </c>
      <c r="O84" s="78">
        <v>0.0</v>
      </c>
      <c r="P84" s="78">
        <v>1.5</v>
      </c>
      <c r="Q84" s="75"/>
      <c r="R84" s="78" t="s">
        <v>35</v>
      </c>
      <c r="S84" s="25"/>
      <c r="T84" s="27">
        <v>0.1</v>
      </c>
      <c r="U84" s="27">
        <v>1.33</v>
      </c>
      <c r="V84" s="31">
        <v>-1.23</v>
      </c>
    </row>
    <row r="85">
      <c r="A85" s="7"/>
      <c r="B85" s="79" t="s">
        <v>9</v>
      </c>
      <c r="C85" s="80"/>
      <c r="D85" s="81" t="s">
        <v>36</v>
      </c>
      <c r="E85" s="82" t="s">
        <v>37</v>
      </c>
      <c r="F85" s="29" t="str">
        <f>F75</f>
        <v>0/160</v>
      </c>
      <c r="G85" s="30" t="s">
        <v>38</v>
      </c>
      <c r="H85" s="83" t="s">
        <v>39</v>
      </c>
      <c r="I85" s="36" t="s">
        <v>40</v>
      </c>
      <c r="J85" s="83" t="s">
        <v>41</v>
      </c>
      <c r="K85" s="83" t="s">
        <v>42</v>
      </c>
      <c r="L85" s="83" t="s">
        <v>43</v>
      </c>
      <c r="M85" s="83" t="s">
        <v>44</v>
      </c>
      <c r="N85" s="83" t="s">
        <v>45</v>
      </c>
      <c r="O85" s="83" t="s">
        <v>46</v>
      </c>
      <c r="P85" s="83" t="s">
        <v>47</v>
      </c>
      <c r="Q85" s="84" t="s">
        <v>48</v>
      </c>
      <c r="R85" s="36" t="s">
        <v>49</v>
      </c>
      <c r="S85" s="30" t="s">
        <v>50</v>
      </c>
      <c r="T85" s="37" t="s">
        <v>51</v>
      </c>
      <c r="U85" s="37" t="s">
        <v>45</v>
      </c>
      <c r="V85" s="38" t="s">
        <v>47</v>
      </c>
    </row>
    <row r="86">
      <c r="A86" s="7"/>
      <c r="B86" s="85" t="s">
        <v>20</v>
      </c>
      <c r="C86" s="86" t="s">
        <v>52</v>
      </c>
      <c r="D86" s="21">
        <f>D76-10</f>
        <v>130</v>
      </c>
      <c r="E86" s="87">
        <f t="shared" ref="E86:E91" si="28">D86+F86</f>
        <v>130</v>
      </c>
      <c r="F86" s="42"/>
      <c r="G86" s="30">
        <f>G76</f>
        <v>45</v>
      </c>
      <c r="H86" s="62">
        <f>$G$6+(E86/2)+$AB$6+(Z86/2)+$L$2</f>
        <v>141</v>
      </c>
      <c r="I86" s="30">
        <f>1-(E87/1000)</f>
        <v>0.68</v>
      </c>
      <c r="J86" s="88">
        <f>ROUND(POWER(E86/100,0.5),3)</f>
        <v>1.14</v>
      </c>
      <c r="K86" s="62">
        <f>(G88*J86*I86*N82)</f>
        <v>8.5272</v>
      </c>
      <c r="L86" s="62">
        <f>1+(L84-1)*(1-E90/500)</f>
        <v>1.21</v>
      </c>
      <c r="M86" s="44">
        <f>M84+((1-M84)*0.5*E90/400)</f>
        <v>0.775</v>
      </c>
      <c r="N86" s="62">
        <f>(E89+(Q86*N84))/1.3</f>
        <v>23.63461538</v>
      </c>
      <c r="O86" s="62">
        <f t="shared" ref="O86:P86" si="26">(D89+(P86*O84))/1.3</f>
        <v>26.92307692</v>
      </c>
      <c r="P86" s="62">
        <f t="shared" si="26"/>
        <v>30.21153846</v>
      </c>
      <c r="Q86" s="88">
        <f>3*(E88/100)</f>
        <v>2.85</v>
      </c>
      <c r="R86" s="62">
        <f>E88*1*(VLOOKUP(B86,SPIN!$M$27:$N$40,2,FALSE))</f>
        <v>6650</v>
      </c>
      <c r="S86" s="30">
        <f>E88*2*3.14/60</f>
        <v>9.943333333</v>
      </c>
      <c r="T86" s="45">
        <f t="shared" ref="T86:V86" si="27">$S86*T84*8</f>
        <v>7.954666667</v>
      </c>
      <c r="U86" s="45">
        <f t="shared" si="27"/>
        <v>105.7970667</v>
      </c>
      <c r="V86" s="46">
        <f t="shared" si="27"/>
        <v>-97.8424</v>
      </c>
    </row>
    <row r="87">
      <c r="A87" s="7"/>
      <c r="B87" s="89"/>
      <c r="C87" s="86" t="s">
        <v>54</v>
      </c>
      <c r="D87" s="21">
        <f>D77+5</f>
        <v>320</v>
      </c>
      <c r="E87" s="87">
        <f t="shared" si="28"/>
        <v>320</v>
      </c>
      <c r="F87" s="42"/>
      <c r="G87" s="30" t="s">
        <v>55</v>
      </c>
      <c r="H87" s="75"/>
      <c r="I87" s="23"/>
      <c r="J87" s="75"/>
      <c r="K87" s="75"/>
      <c r="L87" s="75"/>
      <c r="M87" s="75"/>
      <c r="N87" s="75"/>
      <c r="O87" s="75"/>
      <c r="P87" s="75"/>
      <c r="Q87" s="75"/>
      <c r="R87" s="75"/>
      <c r="S87" s="23"/>
      <c r="T87" s="27"/>
      <c r="U87" s="27"/>
      <c r="V87" s="31"/>
    </row>
    <row r="88">
      <c r="A88" s="7"/>
      <c r="B88" s="89"/>
      <c r="C88" s="86" t="s">
        <v>57</v>
      </c>
      <c r="D88" s="21">
        <f>D98-5</f>
        <v>95</v>
      </c>
      <c r="E88" s="87">
        <f t="shared" si="28"/>
        <v>95</v>
      </c>
      <c r="F88" s="42"/>
      <c r="G88" s="30">
        <f>G78</f>
        <v>11</v>
      </c>
      <c r="H88" s="75"/>
      <c r="I88" s="23"/>
      <c r="J88" s="75"/>
      <c r="K88" s="75"/>
      <c r="L88" s="75"/>
      <c r="M88" s="75"/>
      <c r="N88" s="75"/>
      <c r="O88" s="75"/>
      <c r="P88" s="75"/>
      <c r="Q88" s="75"/>
      <c r="R88" s="75"/>
      <c r="S88" s="23"/>
      <c r="T88" s="27"/>
      <c r="U88" s="27"/>
      <c r="V88" s="31"/>
    </row>
    <row r="89">
      <c r="A89" s="7"/>
      <c r="B89" s="89"/>
      <c r="C89" s="86" t="s">
        <v>59</v>
      </c>
      <c r="D89" s="48">
        <f>'DEFAULT CLUBS-COMMON'!D89</f>
        <v>35</v>
      </c>
      <c r="E89" s="87">
        <f t="shared" si="28"/>
        <v>35</v>
      </c>
      <c r="F89" s="49"/>
      <c r="G89" s="50"/>
      <c r="H89" s="75"/>
      <c r="I89" s="23"/>
      <c r="J89" s="75"/>
      <c r="K89" s="75"/>
      <c r="L89" s="75"/>
      <c r="M89" s="75"/>
      <c r="N89" s="75"/>
      <c r="O89" s="75"/>
      <c r="P89" s="75"/>
      <c r="Q89" s="75"/>
      <c r="R89" s="75"/>
      <c r="S89" s="23"/>
      <c r="T89" s="27"/>
      <c r="U89" s="27"/>
      <c r="V89" s="31"/>
    </row>
    <row r="90">
      <c r="A90" s="7"/>
      <c r="B90" s="89"/>
      <c r="C90" s="86" t="s">
        <v>61</v>
      </c>
      <c r="D90" s="59">
        <f>D100</f>
        <v>80</v>
      </c>
      <c r="E90" s="87">
        <f t="shared" si="28"/>
        <v>80</v>
      </c>
      <c r="F90" s="42"/>
      <c r="G90" s="50"/>
      <c r="H90" s="75"/>
      <c r="I90" s="23"/>
      <c r="J90" s="75"/>
      <c r="K90" s="75"/>
      <c r="L90" s="75"/>
      <c r="M90" s="75"/>
      <c r="N90" s="75"/>
      <c r="O90" s="75"/>
      <c r="P90" s="75"/>
      <c r="Q90" s="75"/>
      <c r="R90" s="75"/>
      <c r="S90" s="23"/>
      <c r="T90" s="27"/>
      <c r="U90" s="27"/>
      <c r="V90" s="31"/>
    </row>
    <row r="91">
      <c r="A91" s="7"/>
      <c r="B91" s="90"/>
      <c r="C91" s="91" t="s">
        <v>62</v>
      </c>
      <c r="D91" s="60">
        <f>D81</f>
        <v>250</v>
      </c>
      <c r="E91" s="92">
        <f t="shared" si="28"/>
        <v>250</v>
      </c>
      <c r="F91" s="61"/>
      <c r="G91" s="55"/>
      <c r="H91" s="93"/>
      <c r="I91" s="56"/>
      <c r="J91" s="93"/>
      <c r="K91" s="93"/>
      <c r="L91" s="93"/>
      <c r="M91" s="93"/>
      <c r="N91" s="93"/>
      <c r="O91" s="93"/>
      <c r="P91" s="93"/>
      <c r="Q91" s="93"/>
      <c r="R91" s="93"/>
      <c r="S91" s="56"/>
      <c r="T91" s="57"/>
      <c r="U91" s="57"/>
      <c r="V91" s="58"/>
    </row>
    <row r="92">
      <c r="A92" s="7"/>
      <c r="B92" s="64"/>
      <c r="C92" s="65"/>
      <c r="D92" s="66"/>
      <c r="E92" s="66"/>
      <c r="F92" s="12"/>
      <c r="G92" s="13"/>
      <c r="H92" s="68" t="s">
        <v>27</v>
      </c>
      <c r="I92" s="14"/>
      <c r="J92" s="68"/>
      <c r="K92" s="68" t="s">
        <v>28</v>
      </c>
      <c r="L92" s="69">
        <f>RANDBETWEEN(0,3)</f>
        <v>1</v>
      </c>
      <c r="M92" s="68" t="s">
        <v>29</v>
      </c>
      <c r="N92" s="70">
        <v>1.0</v>
      </c>
      <c r="O92" s="68"/>
      <c r="P92" s="68"/>
      <c r="Q92" s="68"/>
      <c r="R92" s="68"/>
      <c r="S92" s="16"/>
      <c r="T92" s="17"/>
      <c r="U92" s="17"/>
      <c r="V92" s="18"/>
    </row>
    <row r="93">
      <c r="A93" s="7"/>
      <c r="B93" s="71"/>
      <c r="C93" s="72"/>
      <c r="D93" s="73"/>
      <c r="E93" s="73"/>
      <c r="F93" s="21"/>
      <c r="G93" s="22"/>
      <c r="H93" s="75"/>
      <c r="I93" s="23"/>
      <c r="J93" s="75"/>
      <c r="K93" s="75"/>
      <c r="L93" s="76" t="s">
        <v>33</v>
      </c>
      <c r="M93" s="76" t="s">
        <v>33</v>
      </c>
      <c r="N93" s="75"/>
      <c r="O93" s="75"/>
      <c r="P93" s="75"/>
      <c r="Q93" s="75"/>
      <c r="R93" s="75"/>
      <c r="S93" s="25"/>
      <c r="T93" s="26"/>
      <c r="U93" s="27" t="s">
        <v>34</v>
      </c>
      <c r="V93" s="28"/>
    </row>
    <row r="94">
      <c r="A94" s="7"/>
      <c r="B94" s="71"/>
      <c r="C94" s="72"/>
      <c r="D94" s="73"/>
      <c r="E94" s="73"/>
      <c r="F94" s="29" t="s">
        <v>31</v>
      </c>
      <c r="G94" s="30"/>
      <c r="H94" s="75"/>
      <c r="I94" s="23"/>
      <c r="J94" s="75"/>
      <c r="K94" s="75"/>
      <c r="L94" s="78">
        <f>VLOOKUP(L93,RECOVERY!$AA$8:$AP$10,11,FALSE)</f>
        <v>1.2</v>
      </c>
      <c r="M94" s="78">
        <f>VLOOKUP(M93,RECOVERY!$AA$27:$AP$29,11,FALSE)</f>
        <v>0.75</v>
      </c>
      <c r="N94" s="78">
        <v>-1.5</v>
      </c>
      <c r="O94" s="78">
        <v>0.0</v>
      </c>
      <c r="P94" s="78">
        <v>1.5</v>
      </c>
      <c r="Q94" s="75"/>
      <c r="R94" s="78" t="s">
        <v>35</v>
      </c>
      <c r="S94" s="25"/>
      <c r="T94" s="27">
        <v>0.1</v>
      </c>
      <c r="U94" s="27">
        <v>1.33</v>
      </c>
      <c r="V94" s="31">
        <v>-1.23</v>
      </c>
    </row>
    <row r="95">
      <c r="A95" s="7"/>
      <c r="B95" s="79" t="s">
        <v>9</v>
      </c>
      <c r="C95" s="80"/>
      <c r="D95" s="81" t="s">
        <v>36</v>
      </c>
      <c r="E95" s="82" t="s">
        <v>37</v>
      </c>
      <c r="F95" s="29" t="str">
        <f>F85</f>
        <v>0/160</v>
      </c>
      <c r="G95" s="30" t="s">
        <v>38</v>
      </c>
      <c r="H95" s="83" t="s">
        <v>39</v>
      </c>
      <c r="I95" s="36" t="s">
        <v>40</v>
      </c>
      <c r="J95" s="83" t="s">
        <v>41</v>
      </c>
      <c r="K95" s="83" t="s">
        <v>42</v>
      </c>
      <c r="L95" s="83" t="s">
        <v>43</v>
      </c>
      <c r="M95" s="83" t="s">
        <v>44</v>
      </c>
      <c r="N95" s="83" t="s">
        <v>45</v>
      </c>
      <c r="O95" s="83" t="s">
        <v>46</v>
      </c>
      <c r="P95" s="83" t="s">
        <v>47</v>
      </c>
      <c r="Q95" s="84" t="s">
        <v>48</v>
      </c>
      <c r="R95" s="36" t="s">
        <v>49</v>
      </c>
      <c r="S95" s="30" t="s">
        <v>50</v>
      </c>
      <c r="T95" s="37" t="s">
        <v>51</v>
      </c>
      <c r="U95" s="37" t="s">
        <v>45</v>
      </c>
      <c r="V95" s="38" t="s">
        <v>47</v>
      </c>
    </row>
    <row r="96">
      <c r="A96" s="7"/>
      <c r="B96" s="85" t="s">
        <v>21</v>
      </c>
      <c r="C96" s="86" t="s">
        <v>52</v>
      </c>
      <c r="D96" s="21">
        <f>D86-10</f>
        <v>120</v>
      </c>
      <c r="E96" s="87">
        <f t="shared" ref="E96:E101" si="31">D96+F96</f>
        <v>120</v>
      </c>
      <c r="F96" s="42"/>
      <c r="G96" s="30">
        <f>G86</f>
        <v>45</v>
      </c>
      <c r="H96" s="62">
        <f>$G$6+(E96/2)+$AB$6+(Z96/2)+$L$2</f>
        <v>136</v>
      </c>
      <c r="I96" s="30">
        <f>1-(E97/1000)</f>
        <v>0.68</v>
      </c>
      <c r="J96" s="88">
        <f>ROUND(POWER(E96/100,0.5),3)</f>
        <v>1.095</v>
      </c>
      <c r="K96" s="62">
        <f>(G98*J96*I96*N92)</f>
        <v>8.1906</v>
      </c>
      <c r="L96" s="62">
        <f>1+(L94-1)*(1-E100/500)</f>
        <v>1.168</v>
      </c>
      <c r="M96" s="44">
        <f>M94+((1-M94)*0.5*E100/400)</f>
        <v>0.775</v>
      </c>
      <c r="N96" s="62">
        <f>(E99+(Q96*N94))/1.3</f>
        <v>25.76923077</v>
      </c>
      <c r="O96" s="62">
        <f t="shared" ref="O96:P96" si="29">(D99+(P96*O94))/1.3</f>
        <v>29.23076923</v>
      </c>
      <c r="P96" s="62">
        <f t="shared" si="29"/>
        <v>32.69230769</v>
      </c>
      <c r="Q96" s="88">
        <f>3*(E98/100)</f>
        <v>3</v>
      </c>
      <c r="R96" s="62">
        <f>E98*1*(VLOOKUP(B96,SPIN!$M$27:$N$40,2,FALSE))</f>
        <v>8000</v>
      </c>
      <c r="S96" s="30">
        <f>E98*2*3.14/60</f>
        <v>10.46666667</v>
      </c>
      <c r="T96" s="45">
        <f t="shared" ref="T96:V96" si="30">$S96*T94*8</f>
        <v>8.373333333</v>
      </c>
      <c r="U96" s="45">
        <f t="shared" si="30"/>
        <v>111.3653333</v>
      </c>
      <c r="V96" s="46">
        <f t="shared" si="30"/>
        <v>-102.992</v>
      </c>
    </row>
    <row r="97">
      <c r="A97" s="7"/>
      <c r="B97" s="89"/>
      <c r="C97" s="86" t="s">
        <v>54</v>
      </c>
      <c r="D97" s="21">
        <f>D87</f>
        <v>320</v>
      </c>
      <c r="E97" s="87">
        <f t="shared" si="31"/>
        <v>320</v>
      </c>
      <c r="F97" s="42"/>
      <c r="G97" s="30" t="s">
        <v>55</v>
      </c>
      <c r="H97" s="75"/>
      <c r="I97" s="23"/>
      <c r="J97" s="75"/>
      <c r="K97" s="75"/>
      <c r="L97" s="75"/>
      <c r="M97" s="75"/>
      <c r="N97" s="75"/>
      <c r="O97" s="75"/>
      <c r="P97" s="75"/>
      <c r="Q97" s="75"/>
      <c r="R97" s="75"/>
      <c r="S97" s="23"/>
      <c r="T97" s="27"/>
      <c r="U97" s="27"/>
      <c r="V97" s="31"/>
    </row>
    <row r="98">
      <c r="A98" s="7"/>
      <c r="B98" s="89"/>
      <c r="C98" s="86" t="s">
        <v>57</v>
      </c>
      <c r="D98" s="21">
        <f>D108</f>
        <v>100</v>
      </c>
      <c r="E98" s="87">
        <f t="shared" si="31"/>
        <v>100</v>
      </c>
      <c r="F98" s="42"/>
      <c r="G98" s="30">
        <f>G88</f>
        <v>11</v>
      </c>
      <c r="H98" s="75"/>
      <c r="I98" s="23"/>
      <c r="J98" s="75"/>
      <c r="K98" s="75"/>
      <c r="L98" s="75"/>
      <c r="M98" s="75"/>
      <c r="N98" s="75"/>
      <c r="O98" s="75"/>
      <c r="P98" s="75"/>
      <c r="Q98" s="75"/>
      <c r="R98" s="75"/>
      <c r="S98" s="23"/>
      <c r="T98" s="27"/>
      <c r="U98" s="27"/>
      <c r="V98" s="31"/>
    </row>
    <row r="99">
      <c r="A99" s="7"/>
      <c r="B99" s="89"/>
      <c r="C99" s="86" t="s">
        <v>59</v>
      </c>
      <c r="D99" s="48">
        <f>'DEFAULT CLUBS-COMMON'!D99</f>
        <v>38</v>
      </c>
      <c r="E99" s="87">
        <f t="shared" si="31"/>
        <v>38</v>
      </c>
      <c r="F99" s="49"/>
      <c r="G99" s="50"/>
      <c r="H99" s="75"/>
      <c r="I99" s="23"/>
      <c r="J99" s="75"/>
      <c r="K99" s="75"/>
      <c r="L99" s="75"/>
      <c r="M99" s="75"/>
      <c r="N99" s="75"/>
      <c r="O99" s="75"/>
      <c r="P99" s="75"/>
      <c r="Q99" s="75"/>
      <c r="R99" s="75"/>
      <c r="S99" s="23"/>
      <c r="T99" s="27"/>
      <c r="U99" s="27"/>
      <c r="V99" s="31"/>
    </row>
    <row r="100">
      <c r="A100" s="7"/>
      <c r="B100" s="89"/>
      <c r="C100" s="86" t="s">
        <v>61</v>
      </c>
      <c r="D100" s="59">
        <f>D110</f>
        <v>80</v>
      </c>
      <c r="E100" s="87">
        <f t="shared" si="31"/>
        <v>80</v>
      </c>
      <c r="F100" s="42"/>
      <c r="G100" s="50"/>
      <c r="H100" s="75"/>
      <c r="I100" s="23"/>
      <c r="J100" s="75"/>
      <c r="K100" s="75"/>
      <c r="L100" s="75"/>
      <c r="M100" s="75"/>
      <c r="N100" s="75"/>
      <c r="O100" s="75"/>
      <c r="P100" s="75"/>
      <c r="Q100" s="75"/>
      <c r="R100" s="75"/>
      <c r="S100" s="23"/>
      <c r="T100" s="27"/>
      <c r="U100" s="27"/>
      <c r="V100" s="31"/>
    </row>
    <row r="101">
      <c r="A101" s="7"/>
      <c r="B101" s="90"/>
      <c r="C101" s="91" t="s">
        <v>62</v>
      </c>
      <c r="D101" s="60">
        <f>D91</f>
        <v>250</v>
      </c>
      <c r="E101" s="92">
        <f t="shared" si="31"/>
        <v>250</v>
      </c>
      <c r="F101" s="61"/>
      <c r="G101" s="55"/>
      <c r="H101" s="93"/>
      <c r="I101" s="56"/>
      <c r="J101" s="93"/>
      <c r="K101" s="93"/>
      <c r="L101" s="93"/>
      <c r="M101" s="93"/>
      <c r="N101" s="93"/>
      <c r="O101" s="93"/>
      <c r="P101" s="93"/>
      <c r="Q101" s="93"/>
      <c r="R101" s="93"/>
      <c r="S101" s="56"/>
      <c r="T101" s="57"/>
      <c r="U101" s="57"/>
      <c r="V101" s="58"/>
    </row>
    <row r="102">
      <c r="A102" s="7"/>
      <c r="B102" s="64"/>
      <c r="C102" s="65"/>
      <c r="D102" s="66"/>
      <c r="E102" s="66"/>
      <c r="F102" s="12"/>
      <c r="G102" s="13"/>
      <c r="H102" s="68" t="s">
        <v>27</v>
      </c>
      <c r="I102" s="14"/>
      <c r="J102" s="68"/>
      <c r="K102" s="68" t="s">
        <v>28</v>
      </c>
      <c r="L102" s="69">
        <f>RANDBETWEEN(0,3)</f>
        <v>1</v>
      </c>
      <c r="M102" s="68" t="s">
        <v>29</v>
      </c>
      <c r="N102" s="70">
        <v>1.0</v>
      </c>
      <c r="O102" s="68"/>
      <c r="P102" s="68"/>
      <c r="Q102" s="68"/>
      <c r="R102" s="68"/>
      <c r="S102" s="16"/>
      <c r="T102" s="17"/>
      <c r="U102" s="17"/>
      <c r="V102" s="18"/>
    </row>
    <row r="103">
      <c r="A103" s="7"/>
      <c r="B103" s="71"/>
      <c r="C103" s="72"/>
      <c r="D103" s="73"/>
      <c r="E103" s="73"/>
      <c r="F103" s="21"/>
      <c r="G103" s="22"/>
      <c r="H103" s="75"/>
      <c r="I103" s="23"/>
      <c r="J103" s="75"/>
      <c r="K103" s="75"/>
      <c r="L103" s="76" t="s">
        <v>33</v>
      </c>
      <c r="M103" s="76" t="s">
        <v>33</v>
      </c>
      <c r="N103" s="75"/>
      <c r="O103" s="75"/>
      <c r="P103" s="75"/>
      <c r="Q103" s="75"/>
      <c r="R103" s="75"/>
      <c r="S103" s="25"/>
      <c r="T103" s="26"/>
      <c r="U103" s="27" t="s">
        <v>34</v>
      </c>
      <c r="V103" s="28"/>
    </row>
    <row r="104">
      <c r="A104" s="7"/>
      <c r="B104" s="71"/>
      <c r="C104" s="72"/>
      <c r="D104" s="73"/>
      <c r="E104" s="73"/>
      <c r="F104" s="29" t="s">
        <v>31</v>
      </c>
      <c r="G104" s="30"/>
      <c r="H104" s="75"/>
      <c r="I104" s="23"/>
      <c r="J104" s="75"/>
      <c r="K104" s="75"/>
      <c r="L104" s="78">
        <f>VLOOKUP(L103,RECOVERY!$AA$8:$AP$10,12,FALSE)</f>
        <v>1.2</v>
      </c>
      <c r="M104" s="78">
        <f>VLOOKUP(M103,RECOVERY!$AA$27:$AP$29,12,FALSE)</f>
        <v>0.75</v>
      </c>
      <c r="N104" s="78">
        <v>-1.5</v>
      </c>
      <c r="O104" s="78">
        <v>0.0</v>
      </c>
      <c r="P104" s="78">
        <v>1.5</v>
      </c>
      <c r="Q104" s="75"/>
      <c r="R104" s="78" t="s">
        <v>35</v>
      </c>
      <c r="S104" s="25"/>
      <c r="T104" s="27">
        <v>0.1</v>
      </c>
      <c r="U104" s="27">
        <v>1.33</v>
      </c>
      <c r="V104" s="31">
        <v>-1.23</v>
      </c>
    </row>
    <row r="105">
      <c r="A105" s="7"/>
      <c r="B105" s="79" t="s">
        <v>9</v>
      </c>
      <c r="C105" s="80"/>
      <c r="D105" s="81" t="s">
        <v>36</v>
      </c>
      <c r="E105" s="82" t="s">
        <v>37</v>
      </c>
      <c r="F105" s="29" t="str">
        <f>F95</f>
        <v>0/160</v>
      </c>
      <c r="G105" s="30" t="s">
        <v>38</v>
      </c>
      <c r="H105" s="83" t="s">
        <v>39</v>
      </c>
      <c r="I105" s="36" t="s">
        <v>40</v>
      </c>
      <c r="J105" s="83" t="s">
        <v>41</v>
      </c>
      <c r="K105" s="83" t="s">
        <v>42</v>
      </c>
      <c r="L105" s="83" t="s">
        <v>43</v>
      </c>
      <c r="M105" s="83" t="s">
        <v>44</v>
      </c>
      <c r="N105" s="83" t="s">
        <v>45</v>
      </c>
      <c r="O105" s="83" t="s">
        <v>46</v>
      </c>
      <c r="P105" s="83" t="s">
        <v>47</v>
      </c>
      <c r="Q105" s="84" t="s">
        <v>48</v>
      </c>
      <c r="R105" s="36" t="s">
        <v>49</v>
      </c>
      <c r="S105" s="30" t="s">
        <v>50</v>
      </c>
      <c r="T105" s="37" t="s">
        <v>51</v>
      </c>
      <c r="U105" s="37" t="s">
        <v>45</v>
      </c>
      <c r="V105" s="38" t="s">
        <v>47</v>
      </c>
    </row>
    <row r="106">
      <c r="A106" s="7"/>
      <c r="B106" s="85" t="s">
        <v>22</v>
      </c>
      <c r="C106" s="86" t="s">
        <v>52</v>
      </c>
      <c r="D106" s="21">
        <f>D96</f>
        <v>120</v>
      </c>
      <c r="E106" s="87">
        <f t="shared" ref="E106:E111" si="34">D106+F106</f>
        <v>120</v>
      </c>
      <c r="F106" s="42"/>
      <c r="G106" s="30">
        <f>G96</f>
        <v>45</v>
      </c>
      <c r="H106" s="62">
        <f>$G$6+(E106/2)+$AB$6+(Z106/2)+$L$2</f>
        <v>136</v>
      </c>
      <c r="I106" s="30">
        <f>1-(E107/1000)</f>
        <v>0.675</v>
      </c>
      <c r="J106" s="88">
        <f>ROUND(POWER(E106/100,0.5),3)</f>
        <v>1.095</v>
      </c>
      <c r="K106" s="62">
        <f>(G108*J106*I106*N102)</f>
        <v>8.130375</v>
      </c>
      <c r="L106" s="62">
        <f>1+(L104-1)*(1-E110/500)</f>
        <v>1.168</v>
      </c>
      <c r="M106" s="44">
        <f>M104+((1-M104)*0.5*E110/400)</f>
        <v>0.775</v>
      </c>
      <c r="N106" s="62">
        <f>(E109+(Q106*N104))/1.3</f>
        <v>28.84615385</v>
      </c>
      <c r="O106" s="62">
        <f t="shared" ref="O106:P106" si="32">(D109+(P106*O104))/1.3</f>
        <v>32.30769231</v>
      </c>
      <c r="P106" s="62">
        <f t="shared" si="32"/>
        <v>35.76923077</v>
      </c>
      <c r="Q106" s="88">
        <f>3*(E108/100)</f>
        <v>3</v>
      </c>
      <c r="R106" s="62">
        <f>E108*1*(VLOOKUP(B106,SPIN!$M$27:$N$40,2,FALSE))</f>
        <v>8000</v>
      </c>
      <c r="S106" s="30">
        <f>E108*2*3.14/60</f>
        <v>10.46666667</v>
      </c>
      <c r="T106" s="45">
        <f t="shared" ref="T106:V106" si="33">$S106*T104*8</f>
        <v>8.373333333</v>
      </c>
      <c r="U106" s="45">
        <f t="shared" si="33"/>
        <v>111.3653333</v>
      </c>
      <c r="V106" s="46">
        <f t="shared" si="33"/>
        <v>-102.992</v>
      </c>
    </row>
    <row r="107">
      <c r="A107" s="7"/>
      <c r="B107" s="89"/>
      <c r="C107" s="86" t="s">
        <v>54</v>
      </c>
      <c r="D107" s="21">
        <f>D97+5</f>
        <v>325</v>
      </c>
      <c r="E107" s="87">
        <f t="shared" si="34"/>
        <v>325</v>
      </c>
      <c r="F107" s="42"/>
      <c r="G107" s="30" t="s">
        <v>55</v>
      </c>
      <c r="H107" s="75"/>
      <c r="I107" s="23"/>
      <c r="J107" s="75"/>
      <c r="K107" s="75"/>
      <c r="L107" s="75"/>
      <c r="M107" s="75"/>
      <c r="N107" s="75"/>
      <c r="O107" s="75"/>
      <c r="P107" s="75"/>
      <c r="Q107" s="75"/>
      <c r="R107" s="75"/>
      <c r="S107" s="23"/>
      <c r="T107" s="27"/>
      <c r="U107" s="27"/>
      <c r="V107" s="31"/>
    </row>
    <row r="108">
      <c r="A108" s="7"/>
      <c r="B108" s="89"/>
      <c r="C108" s="86" t="s">
        <v>57</v>
      </c>
      <c r="D108" s="21">
        <f>D118-10</f>
        <v>100</v>
      </c>
      <c r="E108" s="87">
        <f t="shared" si="34"/>
        <v>100</v>
      </c>
      <c r="F108" s="42"/>
      <c r="G108" s="30">
        <f>G98</f>
        <v>11</v>
      </c>
      <c r="H108" s="75"/>
      <c r="I108" s="23"/>
      <c r="J108" s="75"/>
      <c r="K108" s="75"/>
      <c r="L108" s="75"/>
      <c r="M108" s="75"/>
      <c r="N108" s="75"/>
      <c r="O108" s="75"/>
      <c r="P108" s="75"/>
      <c r="Q108" s="75"/>
      <c r="R108" s="75"/>
      <c r="S108" s="23"/>
      <c r="T108" s="27"/>
      <c r="U108" s="27"/>
      <c r="V108" s="31"/>
    </row>
    <row r="109">
      <c r="A109" s="7"/>
      <c r="B109" s="89"/>
      <c r="C109" s="86" t="s">
        <v>59</v>
      </c>
      <c r="D109" s="48">
        <f>'DEFAULT CLUBS-COMMON'!D109</f>
        <v>42</v>
      </c>
      <c r="E109" s="87">
        <f t="shared" si="34"/>
        <v>42</v>
      </c>
      <c r="F109" s="49"/>
      <c r="G109" s="50"/>
      <c r="H109" s="75"/>
      <c r="I109" s="23"/>
      <c r="J109" s="75"/>
      <c r="K109" s="75"/>
      <c r="L109" s="75"/>
      <c r="M109" s="75"/>
      <c r="N109" s="75"/>
      <c r="O109" s="75"/>
      <c r="P109" s="75"/>
      <c r="Q109" s="75"/>
      <c r="R109" s="75"/>
      <c r="S109" s="23"/>
      <c r="T109" s="27"/>
      <c r="U109" s="27"/>
      <c r="V109" s="31"/>
    </row>
    <row r="110">
      <c r="A110" s="7"/>
      <c r="B110" s="89"/>
      <c r="C110" s="86" t="s">
        <v>61</v>
      </c>
      <c r="D110" s="59">
        <f>D120-20</f>
        <v>80</v>
      </c>
      <c r="E110" s="87">
        <f t="shared" si="34"/>
        <v>80</v>
      </c>
      <c r="F110" s="42"/>
      <c r="G110" s="50"/>
      <c r="H110" s="75"/>
      <c r="I110" s="23"/>
      <c r="J110" s="75"/>
      <c r="K110" s="75"/>
      <c r="L110" s="75"/>
      <c r="M110" s="75"/>
      <c r="N110" s="75"/>
      <c r="O110" s="75"/>
      <c r="P110" s="75"/>
      <c r="Q110" s="75"/>
      <c r="R110" s="75"/>
      <c r="S110" s="23"/>
      <c r="T110" s="27"/>
      <c r="U110" s="27"/>
      <c r="V110" s="31"/>
    </row>
    <row r="111">
      <c r="A111" s="7"/>
      <c r="B111" s="90"/>
      <c r="C111" s="91" t="s">
        <v>62</v>
      </c>
      <c r="D111" s="60">
        <f>D101</f>
        <v>250</v>
      </c>
      <c r="E111" s="92">
        <f t="shared" si="34"/>
        <v>250</v>
      </c>
      <c r="F111" s="61"/>
      <c r="G111" s="55"/>
      <c r="H111" s="93"/>
      <c r="I111" s="56"/>
      <c r="J111" s="93"/>
      <c r="K111" s="93"/>
      <c r="L111" s="93"/>
      <c r="M111" s="93"/>
      <c r="N111" s="93"/>
      <c r="O111" s="93"/>
      <c r="P111" s="93"/>
      <c r="Q111" s="93"/>
      <c r="R111" s="93"/>
      <c r="S111" s="56"/>
      <c r="T111" s="57"/>
      <c r="U111" s="57"/>
      <c r="V111" s="58"/>
    </row>
    <row r="112">
      <c r="A112" s="7"/>
      <c r="B112" s="64"/>
      <c r="C112" s="65"/>
      <c r="D112" s="66"/>
      <c r="E112" s="66"/>
      <c r="F112" s="12"/>
      <c r="G112" s="13"/>
      <c r="H112" s="68" t="s">
        <v>27</v>
      </c>
      <c r="I112" s="14"/>
      <c r="J112" s="68"/>
      <c r="K112" s="68" t="s">
        <v>28</v>
      </c>
      <c r="L112" s="69">
        <f>RANDBETWEEN(0,3)</f>
        <v>1</v>
      </c>
      <c r="M112" s="68" t="s">
        <v>29</v>
      </c>
      <c r="N112" s="70">
        <v>1.0</v>
      </c>
      <c r="O112" s="68"/>
      <c r="P112" s="68"/>
      <c r="Q112" s="68"/>
      <c r="R112" s="68"/>
      <c r="S112" s="16"/>
      <c r="T112" s="17"/>
      <c r="U112" s="17"/>
      <c r="V112" s="18"/>
    </row>
    <row r="113">
      <c r="A113" s="7"/>
      <c r="B113" s="71"/>
      <c r="C113" s="72"/>
      <c r="D113" s="73"/>
      <c r="E113" s="73"/>
      <c r="F113" s="21"/>
      <c r="G113" s="22"/>
      <c r="H113" s="75"/>
      <c r="I113" s="23"/>
      <c r="J113" s="75"/>
      <c r="K113" s="75"/>
      <c r="L113" s="76" t="s">
        <v>33</v>
      </c>
      <c r="M113" s="76" t="s">
        <v>33</v>
      </c>
      <c r="N113" s="75"/>
      <c r="O113" s="75"/>
      <c r="P113" s="75"/>
      <c r="Q113" s="75"/>
      <c r="R113" s="75"/>
      <c r="S113" s="25"/>
      <c r="T113" s="26"/>
      <c r="U113" s="27" t="s">
        <v>34</v>
      </c>
      <c r="V113" s="28"/>
    </row>
    <row r="114">
      <c r="A114" s="7"/>
      <c r="B114" s="71"/>
      <c r="C114" s="72"/>
      <c r="D114" s="73"/>
      <c r="E114" s="73"/>
      <c r="F114" s="29" t="s">
        <v>31</v>
      </c>
      <c r="G114" s="30"/>
      <c r="H114" s="75"/>
      <c r="I114" s="23"/>
      <c r="J114" s="75"/>
      <c r="K114" s="75"/>
      <c r="L114" s="78">
        <f>VLOOKUP(L113,RECOVERY!$AA$8:$AP$10,13,FALSE)</f>
        <v>1.15</v>
      </c>
      <c r="M114" s="78">
        <f>VLOOKUP(M113,RECOVERY!$AA$27:$AP$29,13,FALSE)</f>
        <v>0.85</v>
      </c>
      <c r="N114" s="78">
        <v>-1.5</v>
      </c>
      <c r="O114" s="78">
        <v>0.0</v>
      </c>
      <c r="P114" s="78">
        <v>1.5</v>
      </c>
      <c r="Q114" s="75"/>
      <c r="R114" s="78" t="s">
        <v>35</v>
      </c>
      <c r="S114" s="25"/>
      <c r="T114" s="27">
        <v>0.1</v>
      </c>
      <c r="U114" s="27">
        <v>1.33</v>
      </c>
      <c r="V114" s="31">
        <v>-1.23</v>
      </c>
    </row>
    <row r="115">
      <c r="A115" s="7"/>
      <c r="B115" s="79" t="s">
        <v>9</v>
      </c>
      <c r="C115" s="80"/>
      <c r="D115" s="81" t="s">
        <v>36</v>
      </c>
      <c r="E115" s="82" t="s">
        <v>37</v>
      </c>
      <c r="F115" s="29" t="str">
        <f>F105</f>
        <v>0/160</v>
      </c>
      <c r="G115" s="30" t="s">
        <v>38</v>
      </c>
      <c r="H115" s="83" t="s">
        <v>39</v>
      </c>
      <c r="I115" s="36" t="s">
        <v>40</v>
      </c>
      <c r="J115" s="83" t="s">
        <v>41</v>
      </c>
      <c r="K115" s="83" t="s">
        <v>42</v>
      </c>
      <c r="L115" s="83" t="s">
        <v>43</v>
      </c>
      <c r="M115" s="83" t="s">
        <v>44</v>
      </c>
      <c r="N115" s="83" t="s">
        <v>45</v>
      </c>
      <c r="O115" s="83" t="s">
        <v>46</v>
      </c>
      <c r="P115" s="83" t="s">
        <v>47</v>
      </c>
      <c r="Q115" s="84" t="s">
        <v>48</v>
      </c>
      <c r="R115" s="36" t="s">
        <v>49</v>
      </c>
      <c r="S115" s="30" t="s">
        <v>50</v>
      </c>
      <c r="T115" s="37" t="s">
        <v>51</v>
      </c>
      <c r="U115" s="37" t="s">
        <v>45</v>
      </c>
      <c r="V115" s="38" t="s">
        <v>47</v>
      </c>
    </row>
    <row r="116">
      <c r="A116" s="7"/>
      <c r="B116" s="85" t="s">
        <v>64</v>
      </c>
      <c r="C116" s="86" t="s">
        <v>52</v>
      </c>
      <c r="D116" s="21">
        <f t="shared" ref="D116:D117" si="37">D106</f>
        <v>120</v>
      </c>
      <c r="E116" s="87">
        <f t="shared" ref="E116:E121" si="38">D116+F116</f>
        <v>120</v>
      </c>
      <c r="F116" s="42"/>
      <c r="G116" s="30">
        <f>G106</f>
        <v>45</v>
      </c>
      <c r="H116" s="62">
        <f>$G$6+(E116/2)+$AB$6+(Z116/2)+$L$2</f>
        <v>136</v>
      </c>
      <c r="I116" s="30">
        <f>1-(E117/1000)</f>
        <v>0.675</v>
      </c>
      <c r="J116" s="88">
        <f>ROUND(POWER(E116/100,0.5),3)</f>
        <v>1.095</v>
      </c>
      <c r="K116" s="62">
        <f>(G118*J116*I116*N112)</f>
        <v>8.130375</v>
      </c>
      <c r="L116" s="62">
        <f>1+(L114-1)*(1-E120/500)</f>
        <v>1.12</v>
      </c>
      <c r="M116" s="44">
        <f>M114+((1-M114)*0.5*E120/400)</f>
        <v>0.86875</v>
      </c>
      <c r="N116" s="62">
        <f>(E119+(Q116*N114))/1.3</f>
        <v>30.80769231</v>
      </c>
      <c r="O116" s="62">
        <f t="shared" ref="O116:P116" si="35">(D119+(P116*O114))/1.3</f>
        <v>34.61538462</v>
      </c>
      <c r="P116" s="62">
        <f t="shared" si="35"/>
        <v>38.42307692</v>
      </c>
      <c r="Q116" s="88">
        <f>3*(E118/100)</f>
        <v>3.3</v>
      </c>
      <c r="R116" s="62">
        <f>E118*1*(VLOOKUP(B116,SPIN!$M$27:$N$40,2,FALSE))</f>
        <v>9900</v>
      </c>
      <c r="S116" s="30">
        <f>E118*2*3.14/60</f>
        <v>11.51333333</v>
      </c>
      <c r="T116" s="45">
        <f t="shared" ref="T116:V116" si="36">$S116*T114*8</f>
        <v>9.210666667</v>
      </c>
      <c r="U116" s="45">
        <f t="shared" si="36"/>
        <v>122.5018667</v>
      </c>
      <c r="V116" s="46">
        <f t="shared" si="36"/>
        <v>-113.2912</v>
      </c>
    </row>
    <row r="117">
      <c r="A117" s="7"/>
      <c r="B117" s="89"/>
      <c r="C117" s="86" t="s">
        <v>54</v>
      </c>
      <c r="D117" s="21">
        <f t="shared" si="37"/>
        <v>325</v>
      </c>
      <c r="E117" s="87">
        <f t="shared" si="38"/>
        <v>325</v>
      </c>
      <c r="F117" s="42"/>
      <c r="G117" s="30" t="s">
        <v>55</v>
      </c>
      <c r="H117" s="75"/>
      <c r="I117" s="23"/>
      <c r="J117" s="75"/>
      <c r="K117" s="75"/>
      <c r="L117" s="75"/>
      <c r="M117" s="75"/>
      <c r="N117" s="75"/>
      <c r="O117" s="75"/>
      <c r="P117" s="75"/>
      <c r="Q117" s="75"/>
      <c r="R117" s="75"/>
      <c r="S117" s="23"/>
      <c r="T117" s="27"/>
      <c r="U117" s="27"/>
      <c r="V117" s="31"/>
    </row>
    <row r="118">
      <c r="A118" s="7"/>
      <c r="B118" s="89"/>
      <c r="C118" s="86" t="s">
        <v>57</v>
      </c>
      <c r="D118" s="21">
        <f>D128-5</f>
        <v>110</v>
      </c>
      <c r="E118" s="87">
        <f t="shared" si="38"/>
        <v>110</v>
      </c>
      <c r="F118" s="42"/>
      <c r="G118" s="30">
        <f>G108</f>
        <v>11</v>
      </c>
      <c r="H118" s="75"/>
      <c r="I118" s="23"/>
      <c r="J118" s="75"/>
      <c r="K118" s="75"/>
      <c r="L118" s="75"/>
      <c r="M118" s="75"/>
      <c r="N118" s="75"/>
      <c r="O118" s="75"/>
      <c r="P118" s="75"/>
      <c r="Q118" s="75"/>
      <c r="R118" s="75"/>
      <c r="S118" s="23"/>
      <c r="T118" s="27"/>
      <c r="U118" s="27"/>
      <c r="V118" s="31"/>
    </row>
    <row r="119">
      <c r="A119" s="7"/>
      <c r="B119" s="89"/>
      <c r="C119" s="86" t="s">
        <v>59</v>
      </c>
      <c r="D119" s="48">
        <f>'DEFAULT CLUBS-COMMON'!D119</f>
        <v>45</v>
      </c>
      <c r="E119" s="87">
        <f t="shared" si="38"/>
        <v>45</v>
      </c>
      <c r="F119" s="49"/>
      <c r="G119" s="50"/>
      <c r="H119" s="75"/>
      <c r="I119" s="23"/>
      <c r="J119" s="75"/>
      <c r="K119" s="75"/>
      <c r="L119" s="75"/>
      <c r="M119" s="75"/>
      <c r="N119" s="75"/>
      <c r="O119" s="75"/>
      <c r="P119" s="75"/>
      <c r="Q119" s="75"/>
      <c r="R119" s="75"/>
      <c r="S119" s="23"/>
      <c r="T119" s="27"/>
      <c r="U119" s="27"/>
      <c r="V119" s="31"/>
    </row>
    <row r="120">
      <c r="A120" s="7"/>
      <c r="B120" s="89"/>
      <c r="C120" s="86" t="s">
        <v>61</v>
      </c>
      <c r="D120" s="59">
        <f>D130</f>
        <v>100</v>
      </c>
      <c r="E120" s="87">
        <f t="shared" si="38"/>
        <v>100</v>
      </c>
      <c r="F120" s="42"/>
      <c r="G120" s="50"/>
      <c r="H120" s="75"/>
      <c r="I120" s="23"/>
      <c r="J120" s="75"/>
      <c r="K120" s="75"/>
      <c r="L120" s="75"/>
      <c r="M120" s="75"/>
      <c r="N120" s="75"/>
      <c r="O120" s="75"/>
      <c r="P120" s="75"/>
      <c r="Q120" s="75"/>
      <c r="R120" s="75"/>
      <c r="S120" s="23"/>
      <c r="T120" s="27"/>
      <c r="U120" s="27"/>
      <c r="V120" s="31"/>
    </row>
    <row r="121">
      <c r="A121" s="7"/>
      <c r="B121" s="90"/>
      <c r="C121" s="91" t="s">
        <v>62</v>
      </c>
      <c r="D121" s="60">
        <f>D111</f>
        <v>250</v>
      </c>
      <c r="E121" s="92">
        <f t="shared" si="38"/>
        <v>250</v>
      </c>
      <c r="F121" s="61"/>
      <c r="G121" s="55"/>
      <c r="H121" s="93"/>
      <c r="I121" s="56"/>
      <c r="J121" s="93"/>
      <c r="K121" s="93"/>
      <c r="L121" s="93"/>
      <c r="M121" s="93"/>
      <c r="N121" s="93"/>
      <c r="O121" s="93"/>
      <c r="P121" s="93"/>
      <c r="Q121" s="93"/>
      <c r="R121" s="93"/>
      <c r="S121" s="56"/>
      <c r="T121" s="57"/>
      <c r="U121" s="57"/>
      <c r="V121" s="58"/>
    </row>
    <row r="122">
      <c r="A122" s="7"/>
      <c r="B122" s="64"/>
      <c r="C122" s="65"/>
      <c r="D122" s="66"/>
      <c r="E122" s="66"/>
      <c r="F122" s="12"/>
      <c r="G122" s="13"/>
      <c r="H122" s="68" t="s">
        <v>27</v>
      </c>
      <c r="I122" s="14"/>
      <c r="J122" s="68"/>
      <c r="K122" s="68" t="s">
        <v>28</v>
      </c>
      <c r="L122" s="69">
        <f>RANDBETWEEN(0,3)</f>
        <v>3</v>
      </c>
      <c r="M122" s="68" t="s">
        <v>29</v>
      </c>
      <c r="N122" s="70">
        <v>1.0</v>
      </c>
      <c r="O122" s="68"/>
      <c r="P122" s="68"/>
      <c r="Q122" s="68"/>
      <c r="R122" s="68"/>
      <c r="S122" s="16"/>
      <c r="T122" s="17"/>
      <c r="U122" s="17"/>
      <c r="V122" s="18"/>
    </row>
    <row r="123">
      <c r="A123" s="7"/>
      <c r="B123" s="71"/>
      <c r="C123" s="72"/>
      <c r="D123" s="73"/>
      <c r="E123" s="73"/>
      <c r="F123" s="21"/>
      <c r="G123" s="22"/>
      <c r="H123" s="75"/>
      <c r="I123" s="23"/>
      <c r="J123" s="75"/>
      <c r="K123" s="75"/>
      <c r="L123" s="76" t="s">
        <v>33</v>
      </c>
      <c r="M123" s="76" t="s">
        <v>33</v>
      </c>
      <c r="N123" s="75"/>
      <c r="O123" s="75"/>
      <c r="P123" s="75"/>
      <c r="Q123" s="75"/>
      <c r="R123" s="75"/>
      <c r="S123" s="25"/>
      <c r="T123" s="26"/>
      <c r="U123" s="27" t="s">
        <v>34</v>
      </c>
      <c r="V123" s="28"/>
    </row>
    <row r="124">
      <c r="A124" s="7"/>
      <c r="B124" s="71"/>
      <c r="C124" s="72"/>
      <c r="D124" s="73"/>
      <c r="E124" s="73"/>
      <c r="F124" s="29" t="s">
        <v>31</v>
      </c>
      <c r="G124" s="30"/>
      <c r="H124" s="75"/>
      <c r="I124" s="23"/>
      <c r="J124" s="75"/>
      <c r="K124" s="75"/>
      <c r="L124" s="78">
        <f>VLOOKUP(L123,RECOVERY!$AA$8:$AP$10,14,FALSE)</f>
        <v>1.15</v>
      </c>
      <c r="M124" s="78">
        <f>VLOOKUP(M123,RECOVERY!$AA$27:$AP$29,14,FALSE)</f>
        <v>0.85</v>
      </c>
      <c r="N124" s="78">
        <v>-1.5</v>
      </c>
      <c r="O124" s="78">
        <v>0.0</v>
      </c>
      <c r="P124" s="78">
        <v>1.5</v>
      </c>
      <c r="Q124" s="75"/>
      <c r="R124" s="78" t="s">
        <v>35</v>
      </c>
      <c r="S124" s="25"/>
      <c r="T124" s="27">
        <v>0.1</v>
      </c>
      <c r="U124" s="27">
        <v>1.33</v>
      </c>
      <c r="V124" s="31">
        <v>-1.23</v>
      </c>
    </row>
    <row r="125">
      <c r="A125" s="7"/>
      <c r="B125" s="79" t="s">
        <v>9</v>
      </c>
      <c r="C125" s="80"/>
      <c r="D125" s="81" t="s">
        <v>36</v>
      </c>
      <c r="E125" s="82" t="s">
        <v>37</v>
      </c>
      <c r="F125" s="29" t="str">
        <f>F115</f>
        <v>0/160</v>
      </c>
      <c r="G125" s="30" t="s">
        <v>38</v>
      </c>
      <c r="H125" s="83" t="s">
        <v>39</v>
      </c>
      <c r="I125" s="36" t="s">
        <v>40</v>
      </c>
      <c r="J125" s="83" t="s">
        <v>41</v>
      </c>
      <c r="K125" s="83" t="s">
        <v>42</v>
      </c>
      <c r="L125" s="83" t="s">
        <v>43</v>
      </c>
      <c r="M125" s="83" t="s">
        <v>44</v>
      </c>
      <c r="N125" s="83" t="s">
        <v>45</v>
      </c>
      <c r="O125" s="83" t="s">
        <v>46</v>
      </c>
      <c r="P125" s="83" t="s">
        <v>47</v>
      </c>
      <c r="Q125" s="84" t="s">
        <v>48</v>
      </c>
      <c r="R125" s="36" t="s">
        <v>49</v>
      </c>
      <c r="S125" s="30" t="s">
        <v>50</v>
      </c>
      <c r="T125" s="37" t="s">
        <v>51</v>
      </c>
      <c r="U125" s="37" t="s">
        <v>45</v>
      </c>
      <c r="V125" s="38" t="s">
        <v>47</v>
      </c>
    </row>
    <row r="126">
      <c r="A126" s="7"/>
      <c r="B126" s="85" t="s">
        <v>65</v>
      </c>
      <c r="C126" s="86" t="s">
        <v>52</v>
      </c>
      <c r="D126" s="21">
        <f>D116</f>
        <v>120</v>
      </c>
      <c r="E126" s="87">
        <f t="shared" ref="E126:E131" si="41">D126+F126</f>
        <v>120</v>
      </c>
      <c r="F126" s="42"/>
      <c r="G126" s="30">
        <f>G116</f>
        <v>45</v>
      </c>
      <c r="H126" s="62">
        <f>$G$6+(E126/2)+$AB$6+(Z126/2)+$L$2</f>
        <v>136</v>
      </c>
      <c r="I126" s="30">
        <f>1-(E127/1000)</f>
        <v>0.67</v>
      </c>
      <c r="J126" s="88">
        <f>ROUND(POWER(E126/100,0.5),3)</f>
        <v>1.095</v>
      </c>
      <c r="K126" s="62">
        <f>(G128*J126*I126*N122)</f>
        <v>8.07015</v>
      </c>
      <c r="L126" s="62">
        <f>1+(L124-1)*(1-E130/500)</f>
        <v>1.12</v>
      </c>
      <c r="M126" s="44">
        <f>M124+((1-M124)*0.5*E130/400)</f>
        <v>0.86875</v>
      </c>
      <c r="N126" s="62">
        <f>(E129+(Q126*N124))/1.3</f>
        <v>30.63461538</v>
      </c>
      <c r="O126" s="62">
        <f t="shared" ref="O126:P126" si="39">(D129+(P126*O124))/1.3</f>
        <v>34.61538462</v>
      </c>
      <c r="P126" s="62">
        <f t="shared" si="39"/>
        <v>38.59615385</v>
      </c>
      <c r="Q126" s="88">
        <f>3*(E128/100)</f>
        <v>3.45</v>
      </c>
      <c r="R126" s="62">
        <f>E128*1*(VLOOKUP(B126,SPIN!$M$27:$N$40,2,FALSE))</f>
        <v>10350</v>
      </c>
      <c r="S126" s="30">
        <f>E128*2*3.14/60</f>
        <v>12.03666667</v>
      </c>
      <c r="T126" s="45">
        <f t="shared" ref="T126:V126" si="40">$S126*T124*8</f>
        <v>9.629333333</v>
      </c>
      <c r="U126" s="45">
        <f t="shared" si="40"/>
        <v>128.0701333</v>
      </c>
      <c r="V126" s="46">
        <f t="shared" si="40"/>
        <v>-118.4408</v>
      </c>
    </row>
    <row r="127">
      <c r="A127" s="7"/>
      <c r="B127" s="89"/>
      <c r="C127" s="86" t="s">
        <v>54</v>
      </c>
      <c r="D127" s="21">
        <f>D117+5</f>
        <v>330</v>
      </c>
      <c r="E127" s="87">
        <f t="shared" si="41"/>
        <v>330</v>
      </c>
      <c r="F127" s="42"/>
      <c r="G127" s="30" t="s">
        <v>55</v>
      </c>
      <c r="H127" s="75"/>
      <c r="I127" s="23"/>
      <c r="J127" s="75"/>
      <c r="K127" s="75"/>
      <c r="L127" s="75"/>
      <c r="M127" s="75"/>
      <c r="N127" s="75"/>
      <c r="O127" s="75"/>
      <c r="P127" s="75"/>
      <c r="Q127" s="75"/>
      <c r="R127" s="75"/>
      <c r="S127" s="23"/>
      <c r="T127" s="27"/>
      <c r="U127" s="27"/>
      <c r="V127" s="31"/>
    </row>
    <row r="128">
      <c r="A128" s="7"/>
      <c r="B128" s="89"/>
      <c r="C128" s="86" t="s">
        <v>57</v>
      </c>
      <c r="D128" s="21">
        <f>D138-5</f>
        <v>115</v>
      </c>
      <c r="E128" s="87">
        <f t="shared" si="41"/>
        <v>115</v>
      </c>
      <c r="F128" s="42"/>
      <c r="G128" s="30">
        <f>G118</f>
        <v>11</v>
      </c>
      <c r="H128" s="75"/>
      <c r="I128" s="23"/>
      <c r="J128" s="75"/>
      <c r="K128" s="75"/>
      <c r="L128" s="75"/>
      <c r="M128" s="75"/>
      <c r="N128" s="75"/>
      <c r="O128" s="75"/>
      <c r="P128" s="75"/>
      <c r="Q128" s="75"/>
      <c r="R128" s="75"/>
      <c r="S128" s="23"/>
      <c r="T128" s="27"/>
      <c r="U128" s="27"/>
      <c r="V128" s="31"/>
    </row>
    <row r="129">
      <c r="A129" s="7"/>
      <c r="B129" s="89"/>
      <c r="C129" s="86" t="s">
        <v>59</v>
      </c>
      <c r="D129" s="48">
        <f>'DEFAULT CLUBS-COMMON'!D129</f>
        <v>45</v>
      </c>
      <c r="E129" s="87">
        <f t="shared" si="41"/>
        <v>45</v>
      </c>
      <c r="F129" s="49"/>
      <c r="G129" s="50"/>
      <c r="H129" s="75"/>
      <c r="I129" s="23"/>
      <c r="J129" s="75"/>
      <c r="K129" s="75"/>
      <c r="L129" s="75"/>
      <c r="M129" s="75"/>
      <c r="N129" s="75"/>
      <c r="O129" s="75"/>
      <c r="P129" s="75"/>
      <c r="Q129" s="75"/>
      <c r="R129" s="75"/>
      <c r="S129" s="23"/>
      <c r="T129" s="27"/>
      <c r="U129" s="27"/>
      <c r="V129" s="31"/>
    </row>
    <row r="130">
      <c r="A130" s="7"/>
      <c r="B130" s="89"/>
      <c r="C130" s="86" t="s">
        <v>61</v>
      </c>
      <c r="D130" s="59">
        <f>D140</f>
        <v>100</v>
      </c>
      <c r="E130" s="87">
        <f t="shared" si="41"/>
        <v>100</v>
      </c>
      <c r="F130" s="42"/>
      <c r="G130" s="50"/>
      <c r="H130" s="75"/>
      <c r="I130" s="23"/>
      <c r="J130" s="75"/>
      <c r="K130" s="75"/>
      <c r="L130" s="75"/>
      <c r="M130" s="75"/>
      <c r="N130" s="75"/>
      <c r="O130" s="75"/>
      <c r="P130" s="75"/>
      <c r="Q130" s="75"/>
      <c r="R130" s="75"/>
      <c r="S130" s="23"/>
      <c r="T130" s="27"/>
      <c r="U130" s="27"/>
      <c r="V130" s="31"/>
    </row>
    <row r="131">
      <c r="A131" s="7"/>
      <c r="B131" s="90"/>
      <c r="C131" s="91" t="s">
        <v>62</v>
      </c>
      <c r="D131" s="60">
        <f>D121</f>
        <v>250</v>
      </c>
      <c r="E131" s="92">
        <f t="shared" si="41"/>
        <v>250</v>
      </c>
      <c r="F131" s="61"/>
      <c r="G131" s="55"/>
      <c r="H131" s="93"/>
      <c r="I131" s="56"/>
      <c r="J131" s="93"/>
      <c r="K131" s="93"/>
      <c r="L131" s="93"/>
      <c r="M131" s="93"/>
      <c r="N131" s="93"/>
      <c r="O131" s="93"/>
      <c r="P131" s="93"/>
      <c r="Q131" s="93"/>
      <c r="R131" s="93"/>
      <c r="S131" s="56"/>
      <c r="T131" s="57"/>
      <c r="U131" s="57"/>
      <c r="V131" s="58"/>
    </row>
    <row r="132">
      <c r="A132" s="7"/>
      <c r="B132" s="64"/>
      <c r="C132" s="65"/>
      <c r="D132" s="66"/>
      <c r="E132" s="66"/>
      <c r="F132" s="12"/>
      <c r="G132" s="13"/>
      <c r="H132" s="68" t="s">
        <v>27</v>
      </c>
      <c r="I132" s="14"/>
      <c r="J132" s="68"/>
      <c r="K132" s="68" t="s">
        <v>28</v>
      </c>
      <c r="L132" s="69">
        <f>RANDBETWEEN(0,3)</f>
        <v>2</v>
      </c>
      <c r="M132" s="68" t="s">
        <v>29</v>
      </c>
      <c r="N132" s="105">
        <v>1.0</v>
      </c>
      <c r="O132" s="68"/>
      <c r="P132" s="68"/>
      <c r="Q132" s="68"/>
      <c r="R132" s="68"/>
      <c r="S132" s="16"/>
      <c r="T132" s="17"/>
      <c r="U132" s="17"/>
      <c r="V132" s="18"/>
    </row>
    <row r="133">
      <c r="A133" s="7"/>
      <c r="B133" s="71"/>
      <c r="C133" s="72"/>
      <c r="D133" s="73"/>
      <c r="E133" s="73"/>
      <c r="F133" s="21"/>
      <c r="G133" s="22"/>
      <c r="H133" s="75"/>
      <c r="I133" s="23"/>
      <c r="J133" s="75"/>
      <c r="K133" s="75"/>
      <c r="L133" s="76" t="s">
        <v>33</v>
      </c>
      <c r="M133" s="76" t="s">
        <v>33</v>
      </c>
      <c r="N133" s="75"/>
      <c r="O133" s="75"/>
      <c r="P133" s="75"/>
      <c r="Q133" s="75"/>
      <c r="R133" s="75"/>
      <c r="S133" s="25"/>
      <c r="T133" s="26"/>
      <c r="U133" s="27" t="s">
        <v>34</v>
      </c>
      <c r="V133" s="28"/>
    </row>
    <row r="134">
      <c r="A134" s="7"/>
      <c r="B134" s="71"/>
      <c r="C134" s="72"/>
      <c r="D134" s="73"/>
      <c r="E134" s="73"/>
      <c r="F134" s="29" t="s">
        <v>31</v>
      </c>
      <c r="G134" s="30"/>
      <c r="H134" s="75"/>
      <c r="I134" s="23"/>
      <c r="J134" s="75"/>
      <c r="K134" s="75"/>
      <c r="L134" s="78">
        <f>VLOOKUP(L133,RECOVERY!$AA$8:$AP$10,15,FALSE)</f>
        <v>1.15</v>
      </c>
      <c r="M134" s="78">
        <f>VLOOKUP(M133,RECOVERY!$AA$27:$AP$29,15,FALSE)</f>
        <v>0.85</v>
      </c>
      <c r="N134" s="78">
        <v>-1.5</v>
      </c>
      <c r="O134" s="78">
        <v>0.0</v>
      </c>
      <c r="P134" s="78">
        <v>1.5</v>
      </c>
      <c r="Q134" s="75"/>
      <c r="R134" s="78" t="s">
        <v>35</v>
      </c>
      <c r="S134" s="25"/>
      <c r="T134" s="27">
        <v>0.1</v>
      </c>
      <c r="U134" s="27">
        <v>1.33</v>
      </c>
      <c r="V134" s="31">
        <v>-1.23</v>
      </c>
    </row>
    <row r="135">
      <c r="A135" s="7"/>
      <c r="B135" s="79" t="s">
        <v>9</v>
      </c>
      <c r="C135" s="80"/>
      <c r="D135" s="81" t="s">
        <v>36</v>
      </c>
      <c r="E135" s="82" t="s">
        <v>37</v>
      </c>
      <c r="F135" s="29" t="str">
        <f>F125</f>
        <v>0/160</v>
      </c>
      <c r="G135" s="30" t="s">
        <v>38</v>
      </c>
      <c r="H135" s="83" t="s">
        <v>39</v>
      </c>
      <c r="I135" s="36" t="s">
        <v>40</v>
      </c>
      <c r="J135" s="83" t="s">
        <v>41</v>
      </c>
      <c r="K135" s="83" t="s">
        <v>42</v>
      </c>
      <c r="L135" s="83" t="s">
        <v>43</v>
      </c>
      <c r="M135" s="83" t="s">
        <v>44</v>
      </c>
      <c r="N135" s="83" t="s">
        <v>45</v>
      </c>
      <c r="O135" s="83" t="s">
        <v>46</v>
      </c>
      <c r="P135" s="83" t="s">
        <v>47</v>
      </c>
      <c r="Q135" s="84" t="s">
        <v>48</v>
      </c>
      <c r="R135" s="36" t="s">
        <v>49</v>
      </c>
      <c r="S135" s="30" t="s">
        <v>50</v>
      </c>
      <c r="T135" s="37" t="s">
        <v>51</v>
      </c>
      <c r="U135" s="37" t="s">
        <v>45</v>
      </c>
      <c r="V135" s="38" t="s">
        <v>47</v>
      </c>
    </row>
    <row r="136">
      <c r="A136" s="7"/>
      <c r="B136" s="85" t="s">
        <v>66</v>
      </c>
      <c r="C136" s="86" t="s">
        <v>52</v>
      </c>
      <c r="D136" s="21">
        <f t="shared" ref="D136:D137" si="44">D126</f>
        <v>120</v>
      </c>
      <c r="E136" s="87">
        <f t="shared" ref="E136:E141" si="45">D136+F136</f>
        <v>120</v>
      </c>
      <c r="F136" s="42"/>
      <c r="G136" s="30">
        <f>G126</f>
        <v>45</v>
      </c>
      <c r="H136" s="62">
        <f>$G$6+(E136/2)+$AB$6+(Z136/2)+$L$2</f>
        <v>136</v>
      </c>
      <c r="I136" s="30">
        <f>1-(E137/1000)</f>
        <v>0.67</v>
      </c>
      <c r="J136" s="88">
        <f>ROUND(POWER(E136/100,0.5),3)</f>
        <v>1.095</v>
      </c>
      <c r="K136" s="62">
        <f>(G138*J136*I136*N132)</f>
        <v>8.07015</v>
      </c>
      <c r="L136" s="62">
        <f>1+(L134-1)*(1-E140/500)</f>
        <v>1.12</v>
      </c>
      <c r="M136" s="44">
        <f>M134+((1-M134)*0.5*E140/400)</f>
        <v>0.86875</v>
      </c>
      <c r="N136" s="62">
        <f>(E139+(Q136*N134))/1.3</f>
        <v>37.38461538</v>
      </c>
      <c r="O136" s="62">
        <f t="shared" ref="O136:P136" si="42">(D139+(P136*O134))/1.3</f>
        <v>41.53846154</v>
      </c>
      <c r="P136" s="62">
        <f t="shared" si="42"/>
        <v>45.69230769</v>
      </c>
      <c r="Q136" s="88">
        <f>3*(E138/100)</f>
        <v>3.6</v>
      </c>
      <c r="R136" s="62">
        <f>E138*1*(VLOOKUP(B136,SPIN!$M$27:$N$40,2,FALSE))</f>
        <v>10800</v>
      </c>
      <c r="S136" s="30">
        <f>E138*2*3.14/60</f>
        <v>12.56</v>
      </c>
      <c r="T136" s="45">
        <f t="shared" ref="T136:V136" si="43">$S136*T134*8</f>
        <v>10.048</v>
      </c>
      <c r="U136" s="45">
        <f t="shared" si="43"/>
        <v>133.6384</v>
      </c>
      <c r="V136" s="46">
        <f t="shared" si="43"/>
        <v>-123.5904</v>
      </c>
    </row>
    <row r="137">
      <c r="A137" s="7"/>
      <c r="B137" s="89"/>
      <c r="C137" s="86" t="s">
        <v>54</v>
      </c>
      <c r="D137" s="21">
        <f t="shared" si="44"/>
        <v>330</v>
      </c>
      <c r="E137" s="87">
        <f t="shared" si="45"/>
        <v>330</v>
      </c>
      <c r="F137" s="42"/>
      <c r="G137" s="30" t="s">
        <v>55</v>
      </c>
      <c r="H137" s="75"/>
      <c r="I137" s="23"/>
      <c r="J137" s="75"/>
      <c r="K137" s="75"/>
      <c r="L137" s="75"/>
      <c r="M137" s="75"/>
      <c r="N137" s="75"/>
      <c r="O137" s="75"/>
      <c r="P137" s="75"/>
      <c r="Q137" s="75"/>
      <c r="R137" s="75"/>
      <c r="S137" s="23"/>
      <c r="T137" s="27"/>
      <c r="U137" s="27"/>
      <c r="V137" s="31"/>
    </row>
    <row r="138">
      <c r="A138" s="7"/>
      <c r="B138" s="89"/>
      <c r="C138" s="86" t="s">
        <v>57</v>
      </c>
      <c r="D138" s="21">
        <v>120.0</v>
      </c>
      <c r="E138" s="87">
        <f t="shared" si="45"/>
        <v>120</v>
      </c>
      <c r="F138" s="42"/>
      <c r="G138" s="30">
        <f>G128</f>
        <v>11</v>
      </c>
      <c r="H138" s="75"/>
      <c r="I138" s="23"/>
      <c r="J138" s="75"/>
      <c r="K138" s="75"/>
      <c r="L138" s="75"/>
      <c r="M138" s="75"/>
      <c r="N138" s="75"/>
      <c r="O138" s="75"/>
      <c r="P138" s="75"/>
      <c r="Q138" s="75"/>
      <c r="R138" s="75"/>
      <c r="S138" s="23"/>
      <c r="T138" s="27"/>
      <c r="U138" s="27"/>
      <c r="V138" s="31"/>
    </row>
    <row r="139">
      <c r="A139" s="7"/>
      <c r="B139" s="89"/>
      <c r="C139" s="86" t="s">
        <v>59</v>
      </c>
      <c r="D139" s="48">
        <f>'DEFAULT CLUBS-COMMON'!D139</f>
        <v>54</v>
      </c>
      <c r="E139" s="87">
        <f t="shared" si="45"/>
        <v>54</v>
      </c>
      <c r="F139" s="49"/>
      <c r="G139" s="50"/>
      <c r="H139" s="75"/>
      <c r="I139" s="23"/>
      <c r="J139" s="75"/>
      <c r="K139" s="75"/>
      <c r="L139" s="75"/>
      <c r="M139" s="75"/>
      <c r="N139" s="75"/>
      <c r="O139" s="75"/>
      <c r="P139" s="75"/>
      <c r="Q139" s="75"/>
      <c r="R139" s="75"/>
      <c r="S139" s="23"/>
      <c r="T139" s="27"/>
      <c r="U139" s="27"/>
      <c r="V139" s="31"/>
    </row>
    <row r="140">
      <c r="A140" s="7"/>
      <c r="B140" s="89"/>
      <c r="C140" s="86" t="s">
        <v>61</v>
      </c>
      <c r="D140" s="59">
        <v>100.0</v>
      </c>
      <c r="E140" s="87">
        <f t="shared" si="45"/>
        <v>100</v>
      </c>
      <c r="F140" s="42"/>
      <c r="G140" s="50"/>
      <c r="H140" s="75"/>
      <c r="I140" s="23"/>
      <c r="J140" s="75"/>
      <c r="K140" s="75"/>
      <c r="L140" s="75"/>
      <c r="M140" s="75"/>
      <c r="N140" s="75"/>
      <c r="O140" s="75"/>
      <c r="P140" s="75"/>
      <c r="Q140" s="75"/>
      <c r="R140" s="75"/>
      <c r="S140" s="23"/>
      <c r="T140" s="27"/>
      <c r="U140" s="27"/>
      <c r="V140" s="31"/>
    </row>
    <row r="141">
      <c r="A141" s="7"/>
      <c r="B141" s="90"/>
      <c r="C141" s="91" t="s">
        <v>62</v>
      </c>
      <c r="D141" s="60">
        <f>D131</f>
        <v>250</v>
      </c>
      <c r="E141" s="92">
        <f t="shared" si="45"/>
        <v>250</v>
      </c>
      <c r="F141" s="61"/>
      <c r="G141" s="55"/>
      <c r="H141" s="93"/>
      <c r="I141" s="56"/>
      <c r="J141" s="93"/>
      <c r="K141" s="93"/>
      <c r="L141" s="93"/>
      <c r="M141" s="93"/>
      <c r="N141" s="93"/>
      <c r="O141" s="93"/>
      <c r="P141" s="93"/>
      <c r="Q141" s="93"/>
      <c r="R141" s="93"/>
      <c r="S141" s="56"/>
      <c r="T141" s="57"/>
      <c r="U141" s="57"/>
      <c r="V141" s="58"/>
    </row>
    <row r="142">
      <c r="A142" s="7"/>
      <c r="B142" s="64"/>
      <c r="C142" s="65"/>
      <c r="D142" s="66"/>
      <c r="E142" s="66"/>
      <c r="F142" s="12"/>
      <c r="G142" s="13"/>
      <c r="H142" s="68" t="s">
        <v>27</v>
      </c>
      <c r="I142" s="14"/>
      <c r="J142" s="68"/>
      <c r="K142" s="68" t="s">
        <v>28</v>
      </c>
      <c r="L142" s="69">
        <f>RANDBETWEEN(0,3)</f>
        <v>3</v>
      </c>
      <c r="M142" s="68" t="s">
        <v>29</v>
      </c>
      <c r="N142" s="70">
        <v>1.0</v>
      </c>
      <c r="O142" s="68"/>
      <c r="P142" s="68"/>
      <c r="Q142" s="68"/>
      <c r="R142" s="68"/>
      <c r="S142" s="16"/>
      <c r="T142" s="17"/>
      <c r="U142" s="17"/>
      <c r="V142" s="18"/>
    </row>
    <row r="143">
      <c r="A143" s="7"/>
      <c r="B143" s="71"/>
      <c r="C143" s="72"/>
      <c r="D143" s="73"/>
      <c r="E143" s="73"/>
      <c r="F143" s="21"/>
      <c r="G143" s="22"/>
      <c r="H143" s="75"/>
      <c r="I143" s="23"/>
      <c r="J143" s="75"/>
      <c r="K143" s="75"/>
      <c r="L143" s="76" t="s">
        <v>33</v>
      </c>
      <c r="M143" s="76" t="s">
        <v>33</v>
      </c>
      <c r="N143" s="75"/>
      <c r="O143" s="75"/>
      <c r="P143" s="75"/>
      <c r="Q143" s="75"/>
      <c r="R143" s="75"/>
      <c r="S143" s="25"/>
      <c r="T143" s="26"/>
      <c r="U143" s="27" t="s">
        <v>34</v>
      </c>
      <c r="V143" s="28"/>
    </row>
    <row r="144">
      <c r="A144" s="7"/>
      <c r="B144" s="71"/>
      <c r="C144" s="72"/>
      <c r="D144" s="73"/>
      <c r="E144" s="73"/>
      <c r="F144" s="29" t="s">
        <v>31</v>
      </c>
      <c r="G144" s="30"/>
      <c r="H144" s="75"/>
      <c r="I144" s="23"/>
      <c r="J144" s="75"/>
      <c r="K144" s="75"/>
      <c r="L144" s="78">
        <f>VLOOKUP(L143,RECOVERY!$AA$8:$AP$10,2,FALSE)</f>
        <v>1.4</v>
      </c>
      <c r="M144" s="78">
        <f>VLOOKUP(M143,RECOVERY!$AA$27:$AP$29,2,FALSE)</f>
        <v>0.65</v>
      </c>
      <c r="N144" s="78">
        <v>-1.0</v>
      </c>
      <c r="O144" s="78">
        <v>0.0</v>
      </c>
      <c r="P144" s="78">
        <v>1.0</v>
      </c>
      <c r="Q144" s="75"/>
      <c r="R144" s="78" t="s">
        <v>35</v>
      </c>
      <c r="S144" s="25"/>
      <c r="T144" s="27">
        <v>0.1</v>
      </c>
      <c r="U144" s="27">
        <v>1.33</v>
      </c>
      <c r="V144" s="31">
        <v>-1.23</v>
      </c>
    </row>
    <row r="145">
      <c r="A145" s="7"/>
      <c r="B145" s="79" t="s">
        <v>9</v>
      </c>
      <c r="C145" s="80"/>
      <c r="D145" s="81" t="s">
        <v>36</v>
      </c>
      <c r="E145" s="82" t="s">
        <v>37</v>
      </c>
      <c r="F145" s="29" t="str">
        <f>F135</f>
        <v>0/160</v>
      </c>
      <c r="G145" s="30" t="s">
        <v>38</v>
      </c>
      <c r="H145" s="83" t="s">
        <v>39</v>
      </c>
      <c r="I145" s="36" t="s">
        <v>40</v>
      </c>
      <c r="J145" s="83" t="s">
        <v>41</v>
      </c>
      <c r="K145" s="83" t="s">
        <v>42</v>
      </c>
      <c r="L145" s="83" t="s">
        <v>43</v>
      </c>
      <c r="M145" s="83" t="s">
        <v>44</v>
      </c>
      <c r="N145" s="83" t="s">
        <v>45</v>
      </c>
      <c r="O145" s="83" t="s">
        <v>46</v>
      </c>
      <c r="P145" s="83" t="s">
        <v>47</v>
      </c>
      <c r="Q145" s="84" t="s">
        <v>48</v>
      </c>
      <c r="R145" s="36" t="s">
        <v>49</v>
      </c>
      <c r="S145" s="30" t="s">
        <v>50</v>
      </c>
      <c r="T145" s="37" t="s">
        <v>51</v>
      </c>
      <c r="U145" s="37" t="s">
        <v>45</v>
      </c>
      <c r="V145" s="38" t="s">
        <v>47</v>
      </c>
    </row>
    <row r="146">
      <c r="A146" s="7"/>
      <c r="B146" s="85" t="s">
        <v>67</v>
      </c>
      <c r="C146" s="86" t="s">
        <v>52</v>
      </c>
      <c r="D146" s="59">
        <v>43.0</v>
      </c>
      <c r="E146" s="87">
        <f t="shared" ref="E146:E151" si="47">D146+F146</f>
        <v>43</v>
      </c>
      <c r="F146" s="42"/>
      <c r="G146" s="30">
        <v>33.0</v>
      </c>
      <c r="H146" s="99">
        <f>E146</f>
        <v>43</v>
      </c>
      <c r="I146" s="30">
        <f>1-(E147/1000)</f>
        <v>0.665</v>
      </c>
      <c r="J146" s="88">
        <f>ROUND(POWER(E146/100,0.5),3)</f>
        <v>0.656</v>
      </c>
      <c r="K146" s="62">
        <f>(G148*J146*I146*N142)</f>
        <v>1.30872</v>
      </c>
      <c r="L146" s="99" t="s">
        <v>68</v>
      </c>
      <c r="M146" s="99" t="s">
        <v>68</v>
      </c>
      <c r="N146" s="97" t="s">
        <v>68</v>
      </c>
      <c r="O146" s="111" t="str">
        <f>(D149+(P146*O144))/2</f>
        <v>#VALUE!</v>
      </c>
      <c r="P146" s="97" t="s">
        <v>68</v>
      </c>
      <c r="Q146" s="88">
        <f>3*(E148/100)</f>
        <v>0.03</v>
      </c>
      <c r="R146" s="62" t="str">
        <f>E148*1*(VLOOKUP(B146,SPIN!$M$27:$N$40,2,FALSE))</f>
        <v>#N/A</v>
      </c>
      <c r="S146" s="30">
        <f>E148*2*3.14/60</f>
        <v>0.1046666667</v>
      </c>
      <c r="T146" s="45">
        <f t="shared" ref="T146:V146" si="46">$S146*T144*8</f>
        <v>0.08373333333</v>
      </c>
      <c r="U146" s="45">
        <f t="shared" si="46"/>
        <v>1.113653333</v>
      </c>
      <c r="V146" s="46">
        <f t="shared" si="46"/>
        <v>-1.02992</v>
      </c>
    </row>
    <row r="147">
      <c r="A147" s="7"/>
      <c r="B147" s="89"/>
      <c r="C147" s="86" t="s">
        <v>54</v>
      </c>
      <c r="D147" s="21">
        <f>D137+5</f>
        <v>335</v>
      </c>
      <c r="E147" s="87">
        <f t="shared" si="47"/>
        <v>335</v>
      </c>
      <c r="F147" s="42"/>
      <c r="G147" s="30" t="s">
        <v>55</v>
      </c>
      <c r="H147" s="75"/>
      <c r="I147" s="23"/>
      <c r="J147" s="75"/>
      <c r="K147" s="75"/>
      <c r="L147" s="75"/>
      <c r="M147" s="75"/>
      <c r="N147" s="75"/>
      <c r="O147" s="75"/>
      <c r="P147" s="75"/>
      <c r="Q147" s="75"/>
      <c r="R147" s="75"/>
      <c r="S147" s="75"/>
      <c r="T147" s="100"/>
      <c r="U147" s="100"/>
      <c r="V147" s="101"/>
    </row>
    <row r="148">
      <c r="A148" s="7"/>
      <c r="B148" s="89"/>
      <c r="C148" s="86" t="s">
        <v>57</v>
      </c>
      <c r="D148" s="59">
        <v>1.0</v>
      </c>
      <c r="E148" s="87">
        <f t="shared" si="47"/>
        <v>1</v>
      </c>
      <c r="F148" s="42"/>
      <c r="G148" s="30">
        <v>3.0</v>
      </c>
      <c r="H148" s="75"/>
      <c r="I148" s="23"/>
      <c r="J148" s="75"/>
      <c r="K148" s="75"/>
      <c r="L148" s="75"/>
      <c r="M148" s="75"/>
      <c r="N148" s="75"/>
      <c r="O148" s="75"/>
      <c r="P148" s="75"/>
      <c r="Q148" s="75"/>
      <c r="R148" s="75"/>
      <c r="S148" s="75"/>
      <c r="T148" s="100"/>
      <c r="U148" s="100"/>
      <c r="V148" s="101"/>
    </row>
    <row r="149">
      <c r="A149" s="7"/>
      <c r="B149" s="89"/>
      <c r="C149" s="86" t="s">
        <v>59</v>
      </c>
      <c r="D149" s="59">
        <v>4.0</v>
      </c>
      <c r="E149" s="87">
        <f t="shared" si="47"/>
        <v>4</v>
      </c>
      <c r="F149" s="49"/>
      <c r="G149" s="50"/>
      <c r="H149" s="75"/>
      <c r="I149" s="23"/>
      <c r="J149" s="75"/>
      <c r="K149" s="75"/>
      <c r="L149" s="75"/>
      <c r="M149" s="75"/>
      <c r="N149" s="75"/>
      <c r="O149" s="75"/>
      <c r="P149" s="75"/>
      <c r="Q149" s="75"/>
      <c r="R149" s="75"/>
      <c r="S149" s="75"/>
      <c r="T149" s="100"/>
      <c r="U149" s="100"/>
      <c r="V149" s="101"/>
    </row>
    <row r="150">
      <c r="A150" s="7"/>
      <c r="B150" s="89"/>
      <c r="C150" s="86" t="s">
        <v>61</v>
      </c>
      <c r="D150" s="59">
        <v>1.0</v>
      </c>
      <c r="E150" s="87">
        <f t="shared" si="47"/>
        <v>1</v>
      </c>
      <c r="F150" s="42"/>
      <c r="G150" s="50"/>
      <c r="H150" s="75"/>
      <c r="I150" s="23"/>
      <c r="J150" s="75"/>
      <c r="K150" s="75"/>
      <c r="L150" s="75"/>
      <c r="M150" s="75"/>
      <c r="N150" s="75"/>
      <c r="O150" s="75"/>
      <c r="P150" s="75"/>
      <c r="Q150" s="75"/>
      <c r="R150" s="75"/>
      <c r="S150" s="75"/>
      <c r="T150" s="100"/>
      <c r="U150" s="100"/>
      <c r="V150" s="101"/>
    </row>
    <row r="151">
      <c r="A151" s="7"/>
      <c r="B151" s="90"/>
      <c r="C151" s="91" t="s">
        <v>62</v>
      </c>
      <c r="D151" s="60">
        <f>D141</f>
        <v>250</v>
      </c>
      <c r="E151" s="92">
        <f t="shared" si="47"/>
        <v>250</v>
      </c>
      <c r="F151" s="61"/>
      <c r="G151" s="55"/>
      <c r="H151" s="93"/>
      <c r="I151" s="56"/>
      <c r="J151" s="93"/>
      <c r="K151" s="93"/>
      <c r="L151" s="93"/>
      <c r="M151" s="93"/>
      <c r="N151" s="93"/>
      <c r="O151" s="93"/>
      <c r="P151" s="93"/>
      <c r="Q151" s="93"/>
      <c r="R151" s="93"/>
      <c r="S151" s="93"/>
      <c r="T151" s="102"/>
      <c r="U151" s="102"/>
      <c r="V151" s="103"/>
    </row>
  </sheetData>
  <dataValidations>
    <dataValidation type="list" allowBlank="1" showErrorMessage="1" sqref="N2 N12 N22 N32 N42 N52 N62 N72 N82 N92 N102 N112 N122 N132 N142">
      <formula1>"0,0.5,1"</formula1>
    </dataValidation>
    <dataValidation type="list" allowBlank="1" showErrorMessage="1" sqref="L3:M3 L13:M13 L23:M23 L33:M33 L43:M43 L53:M53 L63:M63 L73:M73 L83:M83 L93:M93 L103:M103 L113:M113 L123:M123 L133:M133 L143:M143">
      <formula1>"Rough,SemiRough,Bunker"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</sheetPr>
  <sheetViews>
    <sheetView workbookViewId="0"/>
  </sheetViews>
  <sheetFormatPr customHeight="1" defaultColWidth="12.63" defaultRowHeight="15.75"/>
  <cols>
    <col customWidth="1" min="1" max="1" width="2.88"/>
    <col customWidth="1" min="4" max="4" width="4.0"/>
    <col customWidth="1" min="6" max="6" width="11.38"/>
    <col customWidth="1" min="7" max="7" width="3.13"/>
    <col customWidth="1" min="8" max="8" width="14.63"/>
    <col customWidth="1" min="9" max="9" width="6.63"/>
    <col customWidth="1" min="10" max="10" width="5.63"/>
    <col customWidth="1" min="11" max="11" width="14.13"/>
    <col customWidth="1" min="12" max="12" width="16.13"/>
    <col customWidth="1" min="14" max="14" width="9.0"/>
    <col customWidth="1" min="15" max="16" width="10.38"/>
    <col customWidth="1" min="17" max="17" width="4.5"/>
    <col customWidth="1" min="18" max="18" width="10.38"/>
    <col customWidth="1" min="19" max="19" width="4.5"/>
    <col customWidth="1" min="20" max="22" width="10.13"/>
    <col customWidth="1" min="24" max="24" width="14.5"/>
    <col customWidth="1" min="25" max="25" width="3.88"/>
  </cols>
  <sheetData>
    <row r="2">
      <c r="A2" s="113"/>
      <c r="B2" s="10"/>
      <c r="C2" s="11"/>
      <c r="D2" s="11"/>
      <c r="E2" s="11"/>
      <c r="F2" s="12"/>
      <c r="G2" s="13"/>
      <c r="H2" s="14" t="s">
        <v>27</v>
      </c>
      <c r="I2" s="14"/>
      <c r="J2" s="14"/>
      <c r="K2" s="14" t="s">
        <v>28</v>
      </c>
      <c r="L2" s="14">
        <v>15.0</v>
      </c>
      <c r="M2" s="14" t="s">
        <v>29</v>
      </c>
      <c r="N2" s="105">
        <v>1.0</v>
      </c>
      <c r="O2" s="68"/>
      <c r="P2" s="68"/>
      <c r="Q2" s="16"/>
      <c r="R2" s="16"/>
      <c r="S2" s="16"/>
      <c r="T2" s="17"/>
      <c r="U2" s="17"/>
      <c r="V2" s="18"/>
      <c r="X2" s="3" t="s">
        <v>30</v>
      </c>
      <c r="AA2" s="3" t="s">
        <v>31</v>
      </c>
    </row>
    <row r="3">
      <c r="A3" s="113"/>
      <c r="B3" s="19"/>
      <c r="C3" s="20"/>
      <c r="D3" s="20"/>
      <c r="E3" s="20"/>
      <c r="F3" s="21"/>
      <c r="G3" s="22"/>
      <c r="H3" s="23"/>
      <c r="I3" s="23"/>
      <c r="J3" s="23"/>
      <c r="K3" s="23"/>
      <c r="L3" s="24" t="s">
        <v>33</v>
      </c>
      <c r="M3" s="24" t="s">
        <v>33</v>
      </c>
      <c r="N3" s="75"/>
      <c r="O3" s="75"/>
      <c r="P3" s="75"/>
      <c r="Q3" s="25"/>
      <c r="R3" s="25"/>
      <c r="S3" s="25"/>
      <c r="T3" s="26"/>
      <c r="U3" s="27" t="s">
        <v>34</v>
      </c>
      <c r="V3" s="28"/>
      <c r="X3" s="3"/>
      <c r="AA3" s="3"/>
    </row>
    <row r="4">
      <c r="A4" s="113"/>
      <c r="B4" s="19"/>
      <c r="C4" s="20"/>
      <c r="D4" s="20"/>
      <c r="E4" s="20"/>
      <c r="F4" s="29" t="s">
        <v>31</v>
      </c>
      <c r="G4" s="30"/>
      <c r="H4" s="23"/>
      <c r="I4" s="23"/>
      <c r="J4" s="23"/>
      <c r="K4" s="23"/>
      <c r="L4" s="25">
        <f>VLOOKUP(L3,RECOVERY!$AA$8:$AP$10,2,FALSE)</f>
        <v>1.4</v>
      </c>
      <c r="M4" s="25">
        <f>VLOOKUP(M3,RECOVERY!$AA$27:$AP$29,2,FALSE)</f>
        <v>0.65</v>
      </c>
      <c r="N4" s="106">
        <v>-1.5</v>
      </c>
      <c r="O4" s="106">
        <v>0.0</v>
      </c>
      <c r="P4" s="106">
        <v>1.5</v>
      </c>
      <c r="Q4" s="25"/>
      <c r="R4" s="23" t="s">
        <v>35</v>
      </c>
      <c r="S4" s="25"/>
      <c r="T4" s="27">
        <v>0.1</v>
      </c>
      <c r="U4" s="27">
        <v>1.33</v>
      </c>
      <c r="V4" s="31">
        <v>-1.23</v>
      </c>
      <c r="X4" s="3"/>
      <c r="AA4" s="3"/>
    </row>
    <row r="5">
      <c r="A5" s="113"/>
      <c r="B5" s="32" t="s">
        <v>69</v>
      </c>
      <c r="C5" s="33"/>
      <c r="D5" s="21" t="s">
        <v>36</v>
      </c>
      <c r="E5" s="34" t="s">
        <v>37</v>
      </c>
      <c r="F5" s="29" t="str">
        <f>SUM(F6:F11)&amp;"/235"</f>
        <v>0/235</v>
      </c>
      <c r="G5" s="30" t="s">
        <v>38</v>
      </c>
      <c r="H5" s="36" t="s">
        <v>39</v>
      </c>
      <c r="I5" s="36" t="s">
        <v>40</v>
      </c>
      <c r="J5" s="36" t="s">
        <v>41</v>
      </c>
      <c r="K5" s="36" t="s">
        <v>42</v>
      </c>
      <c r="L5" s="36" t="s">
        <v>43</v>
      </c>
      <c r="M5" s="36" t="s">
        <v>44</v>
      </c>
      <c r="N5" s="107" t="s">
        <v>45</v>
      </c>
      <c r="O5" s="107" t="s">
        <v>46</v>
      </c>
      <c r="P5" s="107" t="s">
        <v>47</v>
      </c>
      <c r="Q5" s="30" t="s">
        <v>48</v>
      </c>
      <c r="R5" s="36" t="s">
        <v>49</v>
      </c>
      <c r="S5" s="30" t="s">
        <v>50</v>
      </c>
      <c r="T5" s="37" t="s">
        <v>51</v>
      </c>
      <c r="U5" s="37" t="s">
        <v>45</v>
      </c>
      <c r="V5" s="38" t="s">
        <v>47</v>
      </c>
      <c r="X5" s="3" t="s">
        <v>69</v>
      </c>
      <c r="Y5" s="3" t="s">
        <v>36</v>
      </c>
      <c r="Z5" s="3" t="s">
        <v>37</v>
      </c>
      <c r="AA5" s="3" t="str">
        <f>SUM(AA6:AA9)&amp;"/55"</f>
        <v>0/55</v>
      </c>
      <c r="AB5" s="3" t="s">
        <v>38</v>
      </c>
    </row>
    <row r="6">
      <c r="A6" s="113"/>
      <c r="B6" s="39" t="s">
        <v>12</v>
      </c>
      <c r="C6" s="40" t="s">
        <v>52</v>
      </c>
      <c r="D6" s="21">
        <v>270.0</v>
      </c>
      <c r="E6" s="41">
        <f t="shared" ref="E6:E11" si="3">D6+F6</f>
        <v>270</v>
      </c>
      <c r="F6" s="42"/>
      <c r="G6" s="30">
        <v>50.0</v>
      </c>
      <c r="H6" s="44">
        <f>$G$6+(E6/2)+$AB$6+(Z6/2)+$L$2</f>
        <v>245</v>
      </c>
      <c r="I6" s="30">
        <f>1-(E7/1000)</f>
        <v>0.65</v>
      </c>
      <c r="J6" s="30">
        <f>ROUND(POWER(E6/100,0.5),3)</f>
        <v>1.643</v>
      </c>
      <c r="K6" s="44">
        <f>(G8*J6*I6*N2)</f>
        <v>7.47565</v>
      </c>
      <c r="L6" s="44">
        <f>1+(L4-1)*(1-E10/500)</f>
        <v>1.3184</v>
      </c>
      <c r="M6" s="44">
        <f>M4+((1-M4)*0.5*E10/400)</f>
        <v>0.694625</v>
      </c>
      <c r="N6" s="62">
        <f>(E9+(Q6*N4))/1.3</f>
        <v>23.98076923</v>
      </c>
      <c r="O6" s="62">
        <f t="shared" ref="O6:P6" si="1">(D9+(P6*O4))/1.3</f>
        <v>26.92307692</v>
      </c>
      <c r="P6" s="62">
        <f t="shared" si="1"/>
        <v>29.86538462</v>
      </c>
      <c r="Q6" s="30">
        <f>3*(E8/100)</f>
        <v>2.55</v>
      </c>
      <c r="R6" s="44">
        <f>E8*1*(VLOOKUP(B6,SPIN!$M$27:$N$40,2,FALSE))</f>
        <v>3400</v>
      </c>
      <c r="S6" s="30">
        <f>E8*2*3.14/60</f>
        <v>8.896666667</v>
      </c>
      <c r="T6" s="45">
        <f t="shared" ref="T6:V6" si="2">$S6*T4*8</f>
        <v>7.117333333</v>
      </c>
      <c r="U6" s="45">
        <f t="shared" si="2"/>
        <v>94.66053333</v>
      </c>
      <c r="V6" s="46">
        <f t="shared" si="2"/>
        <v>-87.5432</v>
      </c>
      <c r="X6" s="3" t="s">
        <v>53</v>
      </c>
      <c r="Y6" s="3">
        <v>30.0</v>
      </c>
      <c r="Z6" s="4">
        <f t="shared" ref="Z6:Z9" si="4">Y6+AA6</f>
        <v>30</v>
      </c>
      <c r="AB6" s="3">
        <v>30.0</v>
      </c>
    </row>
    <row r="7">
      <c r="A7" s="113"/>
      <c r="B7" s="47"/>
      <c r="C7" s="40" t="s">
        <v>54</v>
      </c>
      <c r="D7" s="21">
        <v>350.0</v>
      </c>
      <c r="E7" s="41">
        <f t="shared" si="3"/>
        <v>350</v>
      </c>
      <c r="F7" s="42"/>
      <c r="G7" s="30" t="s">
        <v>55</v>
      </c>
      <c r="H7" s="23" t="s">
        <v>27</v>
      </c>
      <c r="I7" s="23"/>
      <c r="J7" s="23"/>
      <c r="K7" s="23"/>
      <c r="L7" s="23"/>
      <c r="M7" s="23"/>
      <c r="N7" s="108"/>
      <c r="O7" s="108"/>
      <c r="P7" s="108"/>
      <c r="Q7" s="23"/>
      <c r="R7" s="23"/>
      <c r="S7" s="23"/>
      <c r="T7" s="27"/>
      <c r="U7" s="27"/>
      <c r="V7" s="31"/>
      <c r="X7" s="3" t="s">
        <v>56</v>
      </c>
      <c r="Y7" s="3">
        <v>50.0</v>
      </c>
      <c r="Z7" s="4">
        <f t="shared" si="4"/>
        <v>50</v>
      </c>
    </row>
    <row r="8">
      <c r="A8" s="113"/>
      <c r="B8" s="47"/>
      <c r="C8" s="40" t="s">
        <v>57</v>
      </c>
      <c r="D8" s="21">
        <f>D18-15</f>
        <v>85</v>
      </c>
      <c r="E8" s="41">
        <f t="shared" si="3"/>
        <v>85</v>
      </c>
      <c r="F8" s="42"/>
      <c r="G8" s="30">
        <v>7.0</v>
      </c>
      <c r="H8" s="23"/>
      <c r="I8" s="23"/>
      <c r="J8" s="23"/>
      <c r="K8" s="23"/>
      <c r="L8" s="23"/>
      <c r="M8" s="23"/>
      <c r="N8" s="108"/>
      <c r="O8" s="108"/>
      <c r="P8" s="108"/>
      <c r="Q8" s="23"/>
      <c r="R8" s="23"/>
      <c r="S8" s="23"/>
      <c r="T8" s="27"/>
      <c r="U8" s="27"/>
      <c r="V8" s="31"/>
      <c r="X8" s="3" t="s">
        <v>58</v>
      </c>
      <c r="Y8" s="3">
        <v>150.0</v>
      </c>
      <c r="Z8" s="4">
        <f t="shared" si="4"/>
        <v>150</v>
      </c>
    </row>
    <row r="9">
      <c r="A9" s="113"/>
      <c r="B9" s="47"/>
      <c r="C9" s="40" t="s">
        <v>59</v>
      </c>
      <c r="D9" s="48">
        <f>'DEFAULT CLUBS-COMMON'!D9</f>
        <v>35</v>
      </c>
      <c r="E9" s="41">
        <f t="shared" si="3"/>
        <v>35</v>
      </c>
      <c r="F9" s="49"/>
      <c r="G9" s="50"/>
      <c r="H9" s="23"/>
      <c r="I9" s="23"/>
      <c r="J9" s="23"/>
      <c r="K9" s="23"/>
      <c r="L9" s="23"/>
      <c r="M9" s="23"/>
      <c r="N9" s="108"/>
      <c r="O9" s="108"/>
      <c r="P9" s="108"/>
      <c r="Q9" s="23"/>
      <c r="R9" s="23"/>
      <c r="S9" s="23"/>
      <c r="T9" s="27"/>
      <c r="U9" s="27"/>
      <c r="V9" s="31"/>
      <c r="X9" s="3" t="s">
        <v>60</v>
      </c>
      <c r="Y9" s="3">
        <v>5.0</v>
      </c>
      <c r="Z9" s="4">
        <f t="shared" si="4"/>
        <v>5</v>
      </c>
    </row>
    <row r="10">
      <c r="A10" s="113"/>
      <c r="B10" s="47"/>
      <c r="C10" s="40" t="s">
        <v>61</v>
      </c>
      <c r="D10" s="59">
        <f>D20-6</f>
        <v>102</v>
      </c>
      <c r="E10" s="41">
        <f t="shared" si="3"/>
        <v>102</v>
      </c>
      <c r="F10" s="42"/>
      <c r="G10" s="50"/>
      <c r="H10" s="23"/>
      <c r="I10" s="23"/>
      <c r="J10" s="23"/>
      <c r="K10" s="23"/>
      <c r="L10" s="23"/>
      <c r="M10" s="23"/>
      <c r="N10" s="108"/>
      <c r="O10" s="108"/>
      <c r="P10" s="108"/>
      <c r="Q10" s="23"/>
      <c r="R10" s="23"/>
      <c r="S10" s="23"/>
      <c r="T10" s="27"/>
      <c r="U10" s="27"/>
      <c r="V10" s="31"/>
    </row>
    <row r="11">
      <c r="A11" s="113"/>
      <c r="B11" s="51"/>
      <c r="C11" s="52" t="s">
        <v>62</v>
      </c>
      <c r="D11" s="53">
        <v>300.0</v>
      </c>
      <c r="E11" s="54">
        <f t="shared" si="3"/>
        <v>300</v>
      </c>
      <c r="F11" s="61"/>
      <c r="G11" s="55"/>
      <c r="H11" s="56"/>
      <c r="I11" s="56"/>
      <c r="J11" s="56"/>
      <c r="K11" s="56"/>
      <c r="L11" s="56"/>
      <c r="M11" s="56"/>
      <c r="N11" s="110"/>
      <c r="O11" s="110"/>
      <c r="P11" s="110"/>
      <c r="Q11" s="56"/>
      <c r="R11" s="56"/>
      <c r="S11" s="56"/>
      <c r="T11" s="57"/>
      <c r="U11" s="57"/>
      <c r="V11" s="58"/>
    </row>
    <row r="12">
      <c r="A12" s="113"/>
      <c r="B12" s="10"/>
      <c r="C12" s="11"/>
      <c r="D12" s="11"/>
      <c r="E12" s="11"/>
      <c r="F12" s="12"/>
      <c r="G12" s="13"/>
      <c r="H12" s="14" t="s">
        <v>27</v>
      </c>
      <c r="I12" s="14"/>
      <c r="J12" s="14"/>
      <c r="K12" s="14" t="s">
        <v>28</v>
      </c>
      <c r="L12" s="16">
        <f>RANDBETWEEN(0,3)</f>
        <v>3</v>
      </c>
      <c r="M12" s="14" t="s">
        <v>29</v>
      </c>
      <c r="N12" s="105">
        <v>1.0</v>
      </c>
      <c r="O12" s="68"/>
      <c r="P12" s="68"/>
      <c r="Q12" s="16"/>
      <c r="R12" s="16"/>
      <c r="S12" s="16"/>
      <c r="T12" s="17"/>
      <c r="U12" s="17"/>
      <c r="V12" s="18"/>
    </row>
    <row r="13">
      <c r="A13" s="113"/>
      <c r="B13" s="19"/>
      <c r="C13" s="20"/>
      <c r="D13" s="20"/>
      <c r="E13" s="20"/>
      <c r="F13" s="21"/>
      <c r="G13" s="22"/>
      <c r="H13" s="23"/>
      <c r="I13" s="23"/>
      <c r="J13" s="23"/>
      <c r="K13" s="23"/>
      <c r="L13" s="24" t="s">
        <v>33</v>
      </c>
      <c r="M13" s="24" t="s">
        <v>33</v>
      </c>
      <c r="N13" s="75"/>
      <c r="O13" s="75"/>
      <c r="P13" s="75"/>
      <c r="Q13" s="25"/>
      <c r="R13" s="25"/>
      <c r="S13" s="25"/>
      <c r="T13" s="26"/>
      <c r="U13" s="27" t="s">
        <v>34</v>
      </c>
      <c r="V13" s="28"/>
    </row>
    <row r="14">
      <c r="A14" s="113"/>
      <c r="B14" s="19"/>
      <c r="C14" s="20"/>
      <c r="D14" s="20"/>
      <c r="E14" s="20"/>
      <c r="F14" s="29" t="s">
        <v>31</v>
      </c>
      <c r="G14" s="30"/>
      <c r="H14" s="23"/>
      <c r="I14" s="23"/>
      <c r="J14" s="23"/>
      <c r="K14" s="23"/>
      <c r="L14" s="25">
        <f>VLOOKUP(L13,RECOVERY!$AA$8:$AP$10,3,FALSE)</f>
        <v>1.4</v>
      </c>
      <c r="M14" s="25">
        <f>VLOOKUP(M13,RECOVERY!$AA$27:$AP$29,3,FALSE)</f>
        <v>0.65</v>
      </c>
      <c r="N14" s="106">
        <v>-1.5</v>
      </c>
      <c r="O14" s="106">
        <v>0.0</v>
      </c>
      <c r="P14" s="106">
        <v>1.5</v>
      </c>
      <c r="Q14" s="25"/>
      <c r="R14" s="23" t="s">
        <v>35</v>
      </c>
      <c r="S14" s="25"/>
      <c r="T14" s="27">
        <v>0.1</v>
      </c>
      <c r="U14" s="27">
        <v>1.33</v>
      </c>
      <c r="V14" s="31">
        <v>-1.23</v>
      </c>
    </row>
    <row r="15">
      <c r="A15" s="113"/>
      <c r="B15" s="32" t="s">
        <v>69</v>
      </c>
      <c r="C15" s="33"/>
      <c r="D15" s="21" t="s">
        <v>36</v>
      </c>
      <c r="E15" s="34" t="s">
        <v>37</v>
      </c>
      <c r="F15" s="29" t="str">
        <f>F5</f>
        <v>0/235</v>
      </c>
      <c r="G15" s="30" t="s">
        <v>38</v>
      </c>
      <c r="H15" s="36" t="s">
        <v>39</v>
      </c>
      <c r="I15" s="36" t="s">
        <v>40</v>
      </c>
      <c r="J15" s="36" t="s">
        <v>41</v>
      </c>
      <c r="K15" s="36" t="s">
        <v>42</v>
      </c>
      <c r="L15" s="36" t="s">
        <v>43</v>
      </c>
      <c r="M15" s="36" t="s">
        <v>44</v>
      </c>
      <c r="N15" s="107" t="s">
        <v>45</v>
      </c>
      <c r="O15" s="107" t="s">
        <v>46</v>
      </c>
      <c r="P15" s="107" t="s">
        <v>47</v>
      </c>
      <c r="Q15" s="30" t="s">
        <v>48</v>
      </c>
      <c r="R15" s="36" t="s">
        <v>49</v>
      </c>
      <c r="S15" s="30" t="s">
        <v>50</v>
      </c>
      <c r="T15" s="37" t="s">
        <v>51</v>
      </c>
      <c r="U15" s="37" t="s">
        <v>45</v>
      </c>
      <c r="V15" s="38" t="s">
        <v>47</v>
      </c>
    </row>
    <row r="16">
      <c r="A16" s="113"/>
      <c r="B16" s="39" t="s">
        <v>13</v>
      </c>
      <c r="C16" s="40" t="s">
        <v>52</v>
      </c>
      <c r="D16" s="21">
        <f>D6-10</f>
        <v>260</v>
      </c>
      <c r="E16" s="41">
        <f t="shared" ref="E16:E21" si="7">D16+F16</f>
        <v>260</v>
      </c>
      <c r="F16" s="42"/>
      <c r="G16" s="30">
        <f>G6</f>
        <v>50</v>
      </c>
      <c r="H16" s="44">
        <f>$G$6+(E16/2)+$AB$6+(Z16/2)+$L$2</f>
        <v>225</v>
      </c>
      <c r="I16" s="30">
        <f>1-(E17/1000)</f>
        <v>0.65</v>
      </c>
      <c r="J16" s="30">
        <f>ROUND(POWER(E16/100,0.5),3)</f>
        <v>1.612</v>
      </c>
      <c r="K16" s="44">
        <f>(G18*J16*I16*N12)</f>
        <v>7.3346</v>
      </c>
      <c r="L16" s="44">
        <f>1+(L14-1)*(1-E20/500)</f>
        <v>1.3136</v>
      </c>
      <c r="M16" s="44">
        <f>M14+((1-M14)*0.5*E20/400)</f>
        <v>0.69725</v>
      </c>
      <c r="N16" s="62">
        <f>(E19+(Q16*N14))/1.3</f>
        <v>23.46153846</v>
      </c>
      <c r="O16" s="62">
        <f t="shared" ref="O16:P16" si="5">(D19+(P16*O14))/1.3</f>
        <v>26.92307692</v>
      </c>
      <c r="P16" s="62">
        <f t="shared" si="5"/>
        <v>30.38461538</v>
      </c>
      <c r="Q16" s="30">
        <f>3*(E18/100)</f>
        <v>3</v>
      </c>
      <c r="R16" s="44">
        <f>E18*1*(VLOOKUP(B16,SPIN!$M$27:$N$40,2,FALSE))</f>
        <v>5000</v>
      </c>
      <c r="S16" s="30">
        <f>E18*2*3.14/60</f>
        <v>10.46666667</v>
      </c>
      <c r="T16" s="45">
        <f t="shared" ref="T16:V16" si="6">$S16*T14*8</f>
        <v>8.373333333</v>
      </c>
      <c r="U16" s="45">
        <f t="shared" si="6"/>
        <v>111.3653333</v>
      </c>
      <c r="V16" s="46">
        <f t="shared" si="6"/>
        <v>-102.992</v>
      </c>
    </row>
    <row r="17">
      <c r="A17" s="113"/>
      <c r="B17" s="47"/>
      <c r="C17" s="40" t="s">
        <v>54</v>
      </c>
      <c r="D17" s="21">
        <f>D7</f>
        <v>350</v>
      </c>
      <c r="E17" s="41">
        <f t="shared" si="7"/>
        <v>350</v>
      </c>
      <c r="F17" s="42"/>
      <c r="G17" s="30" t="s">
        <v>55</v>
      </c>
      <c r="H17" s="23"/>
      <c r="I17" s="23"/>
      <c r="J17" s="23"/>
      <c r="K17" s="23"/>
      <c r="L17" s="23"/>
      <c r="M17" s="23"/>
      <c r="N17" s="108"/>
      <c r="O17" s="108"/>
      <c r="P17" s="108"/>
      <c r="Q17" s="23"/>
      <c r="R17" s="23"/>
      <c r="S17" s="23"/>
      <c r="T17" s="27"/>
      <c r="U17" s="27"/>
      <c r="V17" s="31"/>
    </row>
    <row r="18">
      <c r="A18" s="113"/>
      <c r="B18" s="47"/>
      <c r="C18" s="40" t="s">
        <v>57</v>
      </c>
      <c r="D18" s="21">
        <f>D28</f>
        <v>100</v>
      </c>
      <c r="E18" s="41">
        <f t="shared" si="7"/>
        <v>100</v>
      </c>
      <c r="F18" s="42"/>
      <c r="G18" s="30">
        <f>G8</f>
        <v>7</v>
      </c>
      <c r="H18" s="23"/>
      <c r="I18" s="23"/>
      <c r="J18" s="23"/>
      <c r="K18" s="23"/>
      <c r="L18" s="23"/>
      <c r="M18" s="23"/>
      <c r="N18" s="108"/>
      <c r="O18" s="108"/>
      <c r="P18" s="108"/>
      <c r="Q18" s="23"/>
      <c r="R18" s="23"/>
      <c r="S18" s="23"/>
      <c r="T18" s="27"/>
      <c r="U18" s="27"/>
      <c r="V18" s="31"/>
    </row>
    <row r="19">
      <c r="A19" s="113"/>
      <c r="B19" s="47"/>
      <c r="C19" s="40" t="s">
        <v>59</v>
      </c>
      <c r="D19" s="48">
        <f>'DEFAULT CLUBS-COMMON'!D19</f>
        <v>35</v>
      </c>
      <c r="E19" s="41">
        <f t="shared" si="7"/>
        <v>35</v>
      </c>
      <c r="F19" s="49"/>
      <c r="G19" s="50"/>
      <c r="H19" s="23"/>
      <c r="I19" s="23"/>
      <c r="J19" s="23"/>
      <c r="K19" s="23"/>
      <c r="L19" s="23"/>
      <c r="M19" s="23"/>
      <c r="N19" s="108"/>
      <c r="O19" s="108"/>
      <c r="P19" s="108"/>
      <c r="Q19" s="23"/>
      <c r="R19" s="23"/>
      <c r="S19" s="23"/>
      <c r="T19" s="27"/>
      <c r="U19" s="27"/>
      <c r="V19" s="31"/>
    </row>
    <row r="20">
      <c r="A20" s="113"/>
      <c r="B20" s="47"/>
      <c r="C20" s="40" t="s">
        <v>61</v>
      </c>
      <c r="D20" s="59">
        <f>D30</f>
        <v>108</v>
      </c>
      <c r="E20" s="41">
        <f t="shared" si="7"/>
        <v>108</v>
      </c>
      <c r="F20" s="42"/>
      <c r="G20" s="50"/>
      <c r="H20" s="23"/>
      <c r="I20" s="23"/>
      <c r="J20" s="23"/>
      <c r="K20" s="23"/>
      <c r="L20" s="23"/>
      <c r="M20" s="23"/>
      <c r="N20" s="108"/>
      <c r="O20" s="108"/>
      <c r="P20" s="108"/>
      <c r="Q20" s="23"/>
      <c r="R20" s="23"/>
      <c r="S20" s="23"/>
      <c r="T20" s="27"/>
      <c r="U20" s="27"/>
      <c r="V20" s="31"/>
    </row>
    <row r="21">
      <c r="A21" s="113"/>
      <c r="B21" s="51"/>
      <c r="C21" s="52" t="s">
        <v>62</v>
      </c>
      <c r="D21" s="60">
        <f>D11</f>
        <v>300</v>
      </c>
      <c r="E21" s="54">
        <f t="shared" si="7"/>
        <v>300</v>
      </c>
      <c r="F21" s="61"/>
      <c r="G21" s="55"/>
      <c r="H21" s="56"/>
      <c r="I21" s="56"/>
      <c r="J21" s="56"/>
      <c r="K21" s="56"/>
      <c r="L21" s="56"/>
      <c r="M21" s="56"/>
      <c r="N21" s="110"/>
      <c r="O21" s="110"/>
      <c r="P21" s="110"/>
      <c r="Q21" s="56"/>
      <c r="R21" s="56"/>
      <c r="S21" s="56"/>
      <c r="T21" s="57"/>
      <c r="U21" s="57"/>
      <c r="V21" s="58"/>
    </row>
    <row r="22">
      <c r="A22" s="113"/>
      <c r="B22" s="10"/>
      <c r="C22" s="11"/>
      <c r="D22" s="11"/>
      <c r="E22" s="11"/>
      <c r="F22" s="12"/>
      <c r="G22" s="13"/>
      <c r="H22" s="14" t="s">
        <v>27</v>
      </c>
      <c r="I22" s="14"/>
      <c r="J22" s="14"/>
      <c r="K22" s="14" t="s">
        <v>28</v>
      </c>
      <c r="L22" s="16">
        <f>RANDBETWEEN(0,3)</f>
        <v>2</v>
      </c>
      <c r="M22" s="14" t="s">
        <v>29</v>
      </c>
      <c r="N22" s="105">
        <v>1.0</v>
      </c>
      <c r="O22" s="68"/>
      <c r="P22" s="68"/>
      <c r="Q22" s="16"/>
      <c r="R22" s="16"/>
      <c r="S22" s="16"/>
      <c r="T22" s="17"/>
      <c r="U22" s="17"/>
      <c r="V22" s="18"/>
    </row>
    <row r="23">
      <c r="A23" s="113"/>
      <c r="B23" s="19"/>
      <c r="C23" s="20"/>
      <c r="D23" s="20"/>
      <c r="E23" s="20"/>
      <c r="F23" s="21"/>
      <c r="G23" s="22"/>
      <c r="H23" s="23"/>
      <c r="I23" s="23"/>
      <c r="J23" s="23"/>
      <c r="K23" s="23"/>
      <c r="L23" s="24" t="s">
        <v>33</v>
      </c>
      <c r="M23" s="24" t="s">
        <v>33</v>
      </c>
      <c r="N23" s="75"/>
      <c r="O23" s="75"/>
      <c r="P23" s="75"/>
      <c r="Q23" s="25"/>
      <c r="R23" s="25"/>
      <c r="S23" s="25"/>
      <c r="T23" s="26"/>
      <c r="U23" s="27" t="s">
        <v>34</v>
      </c>
      <c r="V23" s="28"/>
    </row>
    <row r="24">
      <c r="A24" s="113"/>
      <c r="B24" s="19"/>
      <c r="C24" s="20"/>
      <c r="D24" s="20"/>
      <c r="E24" s="20"/>
      <c r="F24" s="29" t="s">
        <v>31</v>
      </c>
      <c r="G24" s="30"/>
      <c r="H24" s="23"/>
      <c r="I24" s="23"/>
      <c r="J24" s="23"/>
      <c r="K24" s="23"/>
      <c r="L24" s="25">
        <f>VLOOKUP(L23,RECOVERY!$AA$8:$AP$10,4,FALSE)</f>
        <v>1.4</v>
      </c>
      <c r="M24" s="25">
        <f>VLOOKUP(M23,RECOVERY!$AA$27:$AP$29,4,FALSE)</f>
        <v>0.65</v>
      </c>
      <c r="N24" s="106">
        <v>-1.5</v>
      </c>
      <c r="O24" s="106">
        <v>0.0</v>
      </c>
      <c r="P24" s="106">
        <v>1.5</v>
      </c>
      <c r="Q24" s="25"/>
      <c r="R24" s="23" t="s">
        <v>35</v>
      </c>
      <c r="S24" s="25"/>
      <c r="T24" s="27">
        <v>0.1</v>
      </c>
      <c r="U24" s="27">
        <v>1.33</v>
      </c>
      <c r="V24" s="31">
        <v>-1.23</v>
      </c>
    </row>
    <row r="25">
      <c r="A25" s="113"/>
      <c r="B25" s="32" t="s">
        <v>69</v>
      </c>
      <c r="C25" s="33"/>
      <c r="D25" s="21" t="s">
        <v>36</v>
      </c>
      <c r="E25" s="34" t="s">
        <v>37</v>
      </c>
      <c r="F25" s="29" t="str">
        <f>F15</f>
        <v>0/235</v>
      </c>
      <c r="G25" s="30" t="s">
        <v>38</v>
      </c>
      <c r="H25" s="36" t="s">
        <v>39</v>
      </c>
      <c r="I25" s="36" t="s">
        <v>40</v>
      </c>
      <c r="J25" s="36" t="s">
        <v>41</v>
      </c>
      <c r="K25" s="36" t="s">
        <v>42</v>
      </c>
      <c r="L25" s="36" t="s">
        <v>43</v>
      </c>
      <c r="M25" s="36" t="s">
        <v>44</v>
      </c>
      <c r="N25" s="107" t="s">
        <v>45</v>
      </c>
      <c r="O25" s="107" t="s">
        <v>46</v>
      </c>
      <c r="P25" s="107" t="s">
        <v>47</v>
      </c>
      <c r="Q25" s="30" t="s">
        <v>48</v>
      </c>
      <c r="R25" s="36" t="s">
        <v>49</v>
      </c>
      <c r="S25" s="30" t="s">
        <v>50</v>
      </c>
      <c r="T25" s="37" t="s">
        <v>51</v>
      </c>
      <c r="U25" s="37" t="s">
        <v>45</v>
      </c>
      <c r="V25" s="38" t="s">
        <v>47</v>
      </c>
    </row>
    <row r="26">
      <c r="A26" s="113"/>
      <c r="B26" s="39" t="s">
        <v>14</v>
      </c>
      <c r="C26" s="40" t="s">
        <v>52</v>
      </c>
      <c r="D26" s="21">
        <f>D16-10</f>
        <v>250</v>
      </c>
      <c r="E26" s="41">
        <f t="shared" ref="E26:E31" si="10">D26+F26</f>
        <v>250</v>
      </c>
      <c r="F26" s="42"/>
      <c r="G26" s="30">
        <f>G16</f>
        <v>50</v>
      </c>
      <c r="H26" s="62">
        <f>$G$6+(E26/2)+$AB$6+(Z26/2)+$L$2</f>
        <v>220</v>
      </c>
      <c r="I26" s="30">
        <f>1-(E27/1000)</f>
        <v>0.645</v>
      </c>
      <c r="J26" s="63">
        <f>ROUND(POWER(E26/100,0.5),3)</f>
        <v>1.581</v>
      </c>
      <c r="K26" s="62">
        <f>(G28*J26*I26*N22)</f>
        <v>7.138215</v>
      </c>
      <c r="L26" s="62">
        <f>1+(L24-1)*(1-E30/500)</f>
        <v>1.3136</v>
      </c>
      <c r="M26" s="44">
        <f>M24+((1-M24)*0.5*E30/400)</f>
        <v>0.69725</v>
      </c>
      <c r="N26" s="62">
        <f>(E29+(Q26*N24))/1.3</f>
        <v>23.46153846</v>
      </c>
      <c r="O26" s="62">
        <f t="shared" ref="O26:P26" si="8">(D29+(P26*O24))/1.3</f>
        <v>26.92307692</v>
      </c>
      <c r="P26" s="62">
        <f t="shared" si="8"/>
        <v>30.38461538</v>
      </c>
      <c r="Q26" s="63">
        <f>3*(E28/100)</f>
        <v>3</v>
      </c>
      <c r="R26" s="62">
        <f>E28*1*(VLOOKUP(B26,SPIN!$M$27:$N$40,2,FALSE))</f>
        <v>5000</v>
      </c>
      <c r="S26" s="30">
        <f>E28*2*3.14/60</f>
        <v>10.46666667</v>
      </c>
      <c r="T26" s="45">
        <f t="shared" ref="T26:V26" si="9">$S26*T24*8</f>
        <v>8.373333333</v>
      </c>
      <c r="U26" s="45">
        <f t="shared" si="9"/>
        <v>111.3653333</v>
      </c>
      <c r="V26" s="46">
        <f t="shared" si="9"/>
        <v>-102.992</v>
      </c>
    </row>
    <row r="27">
      <c r="A27" s="113"/>
      <c r="B27" s="47"/>
      <c r="C27" s="40" t="s">
        <v>54</v>
      </c>
      <c r="D27" s="21">
        <f>D17+5</f>
        <v>355</v>
      </c>
      <c r="E27" s="41">
        <f t="shared" si="10"/>
        <v>355</v>
      </c>
      <c r="F27" s="42"/>
      <c r="G27" s="30" t="s">
        <v>55</v>
      </c>
      <c r="H27" s="23"/>
      <c r="I27" s="23"/>
      <c r="J27" s="23"/>
      <c r="K27" s="23"/>
      <c r="L27" s="23"/>
      <c r="M27" s="23"/>
      <c r="N27" s="108"/>
      <c r="O27" s="108"/>
      <c r="P27" s="108"/>
      <c r="Q27" s="23"/>
      <c r="R27" s="23"/>
      <c r="S27" s="23"/>
      <c r="T27" s="27"/>
      <c r="U27" s="27"/>
      <c r="V27" s="31"/>
    </row>
    <row r="28">
      <c r="A28" s="113"/>
      <c r="B28" s="47"/>
      <c r="C28" s="40" t="s">
        <v>57</v>
      </c>
      <c r="D28" s="21">
        <f>D48</f>
        <v>100</v>
      </c>
      <c r="E28" s="41">
        <f t="shared" si="10"/>
        <v>100</v>
      </c>
      <c r="F28" s="42"/>
      <c r="G28" s="30">
        <f>G18</f>
        <v>7</v>
      </c>
      <c r="H28" s="23"/>
      <c r="I28" s="23"/>
      <c r="J28" s="23"/>
      <c r="K28" s="23"/>
      <c r="L28" s="23"/>
      <c r="M28" s="23"/>
      <c r="N28" s="108"/>
      <c r="O28" s="108"/>
      <c r="P28" s="108"/>
      <c r="Q28" s="23"/>
      <c r="R28" s="23"/>
      <c r="S28" s="23"/>
      <c r="T28" s="27"/>
      <c r="U28" s="27"/>
      <c r="V28" s="31"/>
    </row>
    <row r="29">
      <c r="A29" s="113"/>
      <c r="B29" s="47"/>
      <c r="C29" s="40" t="s">
        <v>59</v>
      </c>
      <c r="D29" s="48">
        <f>'DEFAULT CLUBS-COMMON'!D29</f>
        <v>35</v>
      </c>
      <c r="E29" s="41">
        <f t="shared" si="10"/>
        <v>35</v>
      </c>
      <c r="F29" s="49"/>
      <c r="G29" s="50"/>
      <c r="H29" s="23"/>
      <c r="I29" s="23"/>
      <c r="J29" s="23"/>
      <c r="K29" s="23"/>
      <c r="L29" s="23"/>
      <c r="M29" s="23"/>
      <c r="N29" s="108"/>
      <c r="O29" s="108"/>
      <c r="P29" s="108"/>
      <c r="Q29" s="23"/>
      <c r="R29" s="23"/>
      <c r="S29" s="23"/>
      <c r="T29" s="27"/>
      <c r="U29" s="27"/>
      <c r="V29" s="31"/>
    </row>
    <row r="30">
      <c r="A30" s="113"/>
      <c r="B30" s="47"/>
      <c r="C30" s="40" t="s">
        <v>61</v>
      </c>
      <c r="D30" s="59">
        <f>D40</f>
        <v>108</v>
      </c>
      <c r="E30" s="41">
        <f t="shared" si="10"/>
        <v>108</v>
      </c>
      <c r="F30" s="42"/>
      <c r="G30" s="50"/>
      <c r="H30" s="23"/>
      <c r="I30" s="23"/>
      <c r="J30" s="23"/>
      <c r="K30" s="23"/>
      <c r="L30" s="23"/>
      <c r="M30" s="23"/>
      <c r="N30" s="108"/>
      <c r="O30" s="108"/>
      <c r="P30" s="108"/>
      <c r="Q30" s="23"/>
      <c r="R30" s="23"/>
      <c r="S30" s="23"/>
      <c r="T30" s="27"/>
      <c r="U30" s="27"/>
      <c r="V30" s="31"/>
    </row>
    <row r="31">
      <c r="A31" s="113"/>
      <c r="B31" s="51"/>
      <c r="C31" s="52" t="s">
        <v>62</v>
      </c>
      <c r="D31" s="60">
        <f>D21</f>
        <v>300</v>
      </c>
      <c r="E31" s="54">
        <f t="shared" si="10"/>
        <v>300</v>
      </c>
      <c r="F31" s="61"/>
      <c r="G31" s="55"/>
      <c r="H31" s="56"/>
      <c r="I31" s="56"/>
      <c r="J31" s="56"/>
      <c r="K31" s="56"/>
      <c r="L31" s="56"/>
      <c r="M31" s="56"/>
      <c r="N31" s="110"/>
      <c r="O31" s="110"/>
      <c r="P31" s="110"/>
      <c r="Q31" s="56"/>
      <c r="R31" s="56"/>
      <c r="S31" s="56"/>
      <c r="T31" s="57"/>
      <c r="U31" s="57"/>
      <c r="V31" s="58"/>
    </row>
    <row r="32">
      <c r="A32" s="113"/>
      <c r="B32" s="64"/>
      <c r="C32" s="65"/>
      <c r="D32" s="66"/>
      <c r="E32" s="66"/>
      <c r="F32" s="12"/>
      <c r="G32" s="13"/>
      <c r="H32" s="68" t="s">
        <v>27</v>
      </c>
      <c r="I32" s="14"/>
      <c r="J32" s="68"/>
      <c r="K32" s="68" t="s">
        <v>28</v>
      </c>
      <c r="L32" s="69">
        <f>RANDBETWEEN(0,3)</f>
        <v>3</v>
      </c>
      <c r="M32" s="68" t="s">
        <v>29</v>
      </c>
      <c r="N32" s="70">
        <v>1.0</v>
      </c>
      <c r="O32" s="68"/>
      <c r="P32" s="68"/>
      <c r="Q32" s="68"/>
      <c r="R32" s="68"/>
      <c r="S32" s="16"/>
      <c r="T32" s="17"/>
      <c r="U32" s="17"/>
      <c r="V32" s="18"/>
    </row>
    <row r="33">
      <c r="A33" s="113"/>
      <c r="B33" s="71"/>
      <c r="C33" s="72"/>
      <c r="D33" s="73"/>
      <c r="E33" s="73"/>
      <c r="F33" s="21"/>
      <c r="G33" s="22"/>
      <c r="H33" s="75"/>
      <c r="I33" s="23"/>
      <c r="J33" s="75"/>
      <c r="K33" s="75"/>
      <c r="L33" s="76" t="s">
        <v>33</v>
      </c>
      <c r="M33" s="76" t="s">
        <v>33</v>
      </c>
      <c r="N33" s="75"/>
      <c r="O33" s="75"/>
      <c r="P33" s="75"/>
      <c r="Q33" s="75"/>
      <c r="R33" s="75"/>
      <c r="S33" s="25"/>
      <c r="T33" s="26"/>
      <c r="U33" s="27" t="s">
        <v>34</v>
      </c>
      <c r="V33" s="28"/>
    </row>
    <row r="34">
      <c r="A34" s="113"/>
      <c r="B34" s="71"/>
      <c r="C34" s="72"/>
      <c r="D34" s="73"/>
      <c r="E34" s="73"/>
      <c r="F34" s="29" t="s">
        <v>31</v>
      </c>
      <c r="G34" s="30"/>
      <c r="H34" s="75"/>
      <c r="I34" s="23"/>
      <c r="J34" s="75"/>
      <c r="K34" s="75"/>
      <c r="L34" s="78">
        <f>VLOOKUP(L33,RECOVERY!$AA$8:$AP$10,5,FALSE)</f>
        <v>1.4</v>
      </c>
      <c r="M34" s="78">
        <f>VLOOKUP(M33,RECOVERY!$AA$27:$AP$29,5,FALSE)</f>
        <v>0.65</v>
      </c>
      <c r="N34" s="78">
        <v>-1.5</v>
      </c>
      <c r="O34" s="78">
        <v>0.0</v>
      </c>
      <c r="P34" s="78">
        <v>1.5</v>
      </c>
      <c r="Q34" s="75"/>
      <c r="R34" s="78" t="s">
        <v>35</v>
      </c>
      <c r="S34" s="25"/>
      <c r="T34" s="27">
        <v>0.1</v>
      </c>
      <c r="U34" s="27">
        <v>1.33</v>
      </c>
      <c r="V34" s="31">
        <v>-1.23</v>
      </c>
    </row>
    <row r="35">
      <c r="A35" s="113"/>
      <c r="B35" s="79" t="s">
        <v>69</v>
      </c>
      <c r="C35" s="80"/>
      <c r="D35" s="81" t="s">
        <v>36</v>
      </c>
      <c r="E35" s="82" t="s">
        <v>37</v>
      </c>
      <c r="F35" s="29" t="str">
        <f>F25</f>
        <v>0/235</v>
      </c>
      <c r="G35" s="30" t="s">
        <v>38</v>
      </c>
      <c r="H35" s="83" t="s">
        <v>39</v>
      </c>
      <c r="I35" s="36" t="s">
        <v>40</v>
      </c>
      <c r="J35" s="83" t="s">
        <v>41</v>
      </c>
      <c r="K35" s="83" t="s">
        <v>42</v>
      </c>
      <c r="L35" s="83" t="s">
        <v>43</v>
      </c>
      <c r="M35" s="83" t="s">
        <v>44</v>
      </c>
      <c r="N35" s="83" t="s">
        <v>45</v>
      </c>
      <c r="O35" s="83" t="s">
        <v>46</v>
      </c>
      <c r="P35" s="83" t="s">
        <v>47</v>
      </c>
      <c r="Q35" s="84" t="s">
        <v>48</v>
      </c>
      <c r="R35" s="36" t="s">
        <v>49</v>
      </c>
      <c r="S35" s="30" t="s">
        <v>50</v>
      </c>
      <c r="T35" s="37" t="s">
        <v>51</v>
      </c>
      <c r="U35" s="37" t="s">
        <v>45</v>
      </c>
      <c r="V35" s="38" t="s">
        <v>47</v>
      </c>
    </row>
    <row r="36">
      <c r="A36" s="113"/>
      <c r="B36" s="85" t="s">
        <v>15</v>
      </c>
      <c r="C36" s="86" t="s">
        <v>52</v>
      </c>
      <c r="D36" s="21">
        <f>D26-10</f>
        <v>240</v>
      </c>
      <c r="E36" s="87">
        <f t="shared" ref="E36:E41" si="13">D36+F36</f>
        <v>240</v>
      </c>
      <c r="F36" s="42"/>
      <c r="G36" s="30">
        <f>G26</f>
        <v>50</v>
      </c>
      <c r="H36" s="62">
        <f>$G$6+(E36/2)+$AB$6+(Z36/2)+$L$2</f>
        <v>215</v>
      </c>
      <c r="I36" s="30">
        <f>1-(E37/1000)</f>
        <v>0.645</v>
      </c>
      <c r="J36" s="88">
        <f>ROUND(POWER(E36/100,0.5),3)</f>
        <v>1.549</v>
      </c>
      <c r="K36" s="62">
        <f>(G38*J36*I36*N32)</f>
        <v>6.993735</v>
      </c>
      <c r="L36" s="62">
        <f>1+(L34-1)*(1-E40/500)</f>
        <v>1.3136</v>
      </c>
      <c r="M36" s="44">
        <f>M34+((1-M34)*0.5*E40/400)</f>
        <v>0.69725</v>
      </c>
      <c r="N36" s="62">
        <f>(E39+(Q36*N34))/1.3</f>
        <v>23.32307692</v>
      </c>
      <c r="O36" s="62">
        <f t="shared" ref="O36:P36" si="11">(D39+(P36*O34))/1.3</f>
        <v>26.92307692</v>
      </c>
      <c r="P36" s="62">
        <f t="shared" si="11"/>
        <v>30.52307692</v>
      </c>
      <c r="Q36" s="88">
        <f>3*(E38/100)</f>
        <v>3.12</v>
      </c>
      <c r="R36" s="62">
        <f>E38*1*(VLOOKUP(B36,SPIN!$M$27:$N$40,2,FALSE))</f>
        <v>5200</v>
      </c>
      <c r="S36" s="30">
        <f>E38*2*3.14/60</f>
        <v>10.88533333</v>
      </c>
      <c r="T36" s="45">
        <f t="shared" ref="T36:V36" si="12">$S36*T34*8</f>
        <v>8.708266667</v>
      </c>
      <c r="U36" s="45">
        <f t="shared" si="12"/>
        <v>115.8199467</v>
      </c>
      <c r="V36" s="46">
        <f t="shared" si="12"/>
        <v>-107.11168</v>
      </c>
    </row>
    <row r="37">
      <c r="A37" s="113"/>
      <c r="B37" s="89"/>
      <c r="C37" s="86" t="s">
        <v>54</v>
      </c>
      <c r="D37" s="21">
        <f>D27</f>
        <v>355</v>
      </c>
      <c r="E37" s="87">
        <f t="shared" si="13"/>
        <v>355</v>
      </c>
      <c r="F37" s="42"/>
      <c r="G37" s="30" t="s">
        <v>55</v>
      </c>
      <c r="H37" s="75"/>
      <c r="I37" s="23"/>
      <c r="J37" s="75"/>
      <c r="K37" s="75"/>
      <c r="L37" s="75"/>
      <c r="M37" s="75"/>
      <c r="N37" s="75"/>
      <c r="O37" s="75"/>
      <c r="P37" s="75"/>
      <c r="Q37" s="75"/>
      <c r="R37" s="75"/>
      <c r="S37" s="23"/>
      <c r="T37" s="27"/>
      <c r="U37" s="27"/>
      <c r="V37" s="31"/>
    </row>
    <row r="38">
      <c r="A38" s="113"/>
      <c r="B38" s="89"/>
      <c r="C38" s="86" t="s">
        <v>57</v>
      </c>
      <c r="D38" s="21">
        <f>D48+4</f>
        <v>104</v>
      </c>
      <c r="E38" s="87">
        <f t="shared" si="13"/>
        <v>104</v>
      </c>
      <c r="F38" s="42"/>
      <c r="G38" s="30">
        <f>G28</f>
        <v>7</v>
      </c>
      <c r="H38" s="75"/>
      <c r="I38" s="23"/>
      <c r="J38" s="75"/>
      <c r="K38" s="75"/>
      <c r="L38" s="75"/>
      <c r="M38" s="75"/>
      <c r="N38" s="75"/>
      <c r="O38" s="75"/>
      <c r="P38" s="75"/>
      <c r="Q38" s="75"/>
      <c r="R38" s="75"/>
      <c r="S38" s="23"/>
      <c r="T38" s="27"/>
      <c r="U38" s="27"/>
      <c r="V38" s="31"/>
    </row>
    <row r="39">
      <c r="A39" s="113"/>
      <c r="B39" s="89"/>
      <c r="C39" s="86" t="s">
        <v>59</v>
      </c>
      <c r="D39" s="48">
        <f>'DEFAULT CLUBS-COMMON'!D39</f>
        <v>35</v>
      </c>
      <c r="E39" s="87">
        <f t="shared" si="13"/>
        <v>35</v>
      </c>
      <c r="F39" s="49"/>
      <c r="G39" s="50"/>
      <c r="H39" s="75"/>
      <c r="I39" s="23"/>
      <c r="J39" s="75"/>
      <c r="K39" s="75"/>
      <c r="L39" s="75"/>
      <c r="M39" s="75"/>
      <c r="N39" s="75"/>
      <c r="O39" s="75"/>
      <c r="P39" s="75"/>
      <c r="Q39" s="75"/>
      <c r="R39" s="75"/>
      <c r="S39" s="23"/>
      <c r="T39" s="27"/>
      <c r="U39" s="27"/>
      <c r="V39" s="31"/>
    </row>
    <row r="40">
      <c r="A40" s="113"/>
      <c r="B40" s="89"/>
      <c r="C40" s="86" t="s">
        <v>61</v>
      </c>
      <c r="D40" s="59">
        <f>D50</f>
        <v>108</v>
      </c>
      <c r="E40" s="87">
        <f t="shared" si="13"/>
        <v>108</v>
      </c>
      <c r="F40" s="42"/>
      <c r="G40" s="50"/>
      <c r="H40" s="75"/>
      <c r="I40" s="23"/>
      <c r="J40" s="75"/>
      <c r="K40" s="75"/>
      <c r="L40" s="75"/>
      <c r="M40" s="75"/>
      <c r="N40" s="75"/>
      <c r="O40" s="75"/>
      <c r="P40" s="75"/>
      <c r="Q40" s="75"/>
      <c r="R40" s="75"/>
      <c r="S40" s="23"/>
      <c r="T40" s="27"/>
      <c r="U40" s="27"/>
      <c r="V40" s="31"/>
    </row>
    <row r="41">
      <c r="A41" s="113"/>
      <c r="B41" s="90"/>
      <c r="C41" s="91" t="s">
        <v>62</v>
      </c>
      <c r="D41" s="60">
        <f>D31</f>
        <v>300</v>
      </c>
      <c r="E41" s="92">
        <f t="shared" si="13"/>
        <v>300</v>
      </c>
      <c r="F41" s="61"/>
      <c r="G41" s="55"/>
      <c r="H41" s="93"/>
      <c r="I41" s="56"/>
      <c r="J41" s="93"/>
      <c r="K41" s="93"/>
      <c r="L41" s="93"/>
      <c r="M41" s="93"/>
      <c r="N41" s="93"/>
      <c r="O41" s="93"/>
      <c r="P41" s="93"/>
      <c r="Q41" s="93"/>
      <c r="R41" s="93"/>
      <c r="S41" s="56"/>
      <c r="T41" s="57"/>
      <c r="U41" s="57"/>
      <c r="V41" s="58"/>
    </row>
    <row r="42">
      <c r="A42" s="113"/>
      <c r="B42" s="64"/>
      <c r="C42" s="65"/>
      <c r="D42" s="66"/>
      <c r="E42" s="66"/>
      <c r="F42" s="12"/>
      <c r="G42" s="13"/>
      <c r="H42" s="68" t="s">
        <v>27</v>
      </c>
      <c r="I42" s="14"/>
      <c r="J42" s="68"/>
      <c r="K42" s="68" t="s">
        <v>28</v>
      </c>
      <c r="L42" s="69">
        <f>RANDBETWEEN(0,3)</f>
        <v>0</v>
      </c>
      <c r="M42" s="68" t="s">
        <v>29</v>
      </c>
      <c r="N42" s="70">
        <v>1.0</v>
      </c>
      <c r="O42" s="68"/>
      <c r="P42" s="68"/>
      <c r="Q42" s="68"/>
      <c r="R42" s="68"/>
      <c r="S42" s="16"/>
      <c r="T42" s="17"/>
      <c r="U42" s="17"/>
      <c r="V42" s="18"/>
    </row>
    <row r="43">
      <c r="A43" s="113"/>
      <c r="B43" s="71"/>
      <c r="C43" s="72"/>
      <c r="D43" s="73"/>
      <c r="E43" s="73"/>
      <c r="F43" s="21"/>
      <c r="G43" s="22"/>
      <c r="H43" s="75"/>
      <c r="I43" s="23"/>
      <c r="J43" s="75"/>
      <c r="K43" s="75"/>
      <c r="L43" s="76" t="s">
        <v>33</v>
      </c>
      <c r="M43" s="76" t="s">
        <v>33</v>
      </c>
      <c r="N43" s="75"/>
      <c r="O43" s="75"/>
      <c r="P43" s="75"/>
      <c r="Q43" s="75"/>
      <c r="R43" s="75"/>
      <c r="S43" s="25"/>
      <c r="T43" s="26"/>
      <c r="U43" s="27" t="s">
        <v>34</v>
      </c>
      <c r="V43" s="28"/>
    </row>
    <row r="44">
      <c r="A44" s="113"/>
      <c r="B44" s="71"/>
      <c r="C44" s="72"/>
      <c r="D44" s="73"/>
      <c r="E44" s="73"/>
      <c r="F44" s="29" t="s">
        <v>31</v>
      </c>
      <c r="G44" s="30"/>
      <c r="H44" s="75"/>
      <c r="I44" s="23"/>
      <c r="J44" s="75"/>
      <c r="K44" s="75"/>
      <c r="L44" s="78">
        <f>VLOOKUP(L43,RECOVERY!$AA$8:$AP$10,6,FALSE)</f>
        <v>1.3</v>
      </c>
      <c r="M44" s="78">
        <f>VLOOKUP(M43,RECOVERY!$AA$27:$AP$29,6,FALSE)</f>
        <v>0.65</v>
      </c>
      <c r="N44" s="78">
        <v>-1.5</v>
      </c>
      <c r="O44" s="78">
        <v>0.0</v>
      </c>
      <c r="P44" s="78">
        <v>1.5</v>
      </c>
      <c r="Q44" s="75"/>
      <c r="R44" s="78" t="s">
        <v>35</v>
      </c>
      <c r="S44" s="25"/>
      <c r="T44" s="27">
        <v>0.1</v>
      </c>
      <c r="U44" s="27">
        <v>1.33</v>
      </c>
      <c r="V44" s="31">
        <v>-1.23</v>
      </c>
    </row>
    <row r="45">
      <c r="A45" s="113"/>
      <c r="B45" s="79" t="s">
        <v>69</v>
      </c>
      <c r="C45" s="80"/>
      <c r="D45" s="81" t="s">
        <v>36</v>
      </c>
      <c r="E45" s="82" t="s">
        <v>37</v>
      </c>
      <c r="F45" s="29" t="str">
        <f>F35</f>
        <v>0/235</v>
      </c>
      <c r="G45" s="30" t="s">
        <v>38</v>
      </c>
      <c r="H45" s="83" t="s">
        <v>39</v>
      </c>
      <c r="I45" s="36" t="s">
        <v>40</v>
      </c>
      <c r="J45" s="83" t="s">
        <v>41</v>
      </c>
      <c r="K45" s="83" t="s">
        <v>42</v>
      </c>
      <c r="L45" s="83" t="s">
        <v>43</v>
      </c>
      <c r="M45" s="83" t="s">
        <v>44</v>
      </c>
      <c r="N45" s="83" t="s">
        <v>45</v>
      </c>
      <c r="O45" s="83" t="s">
        <v>46</v>
      </c>
      <c r="P45" s="83" t="s">
        <v>47</v>
      </c>
      <c r="Q45" s="84" t="s">
        <v>48</v>
      </c>
      <c r="R45" s="36" t="s">
        <v>49</v>
      </c>
      <c r="S45" s="30" t="s">
        <v>50</v>
      </c>
      <c r="T45" s="37" t="s">
        <v>51</v>
      </c>
      <c r="U45" s="37" t="s">
        <v>45</v>
      </c>
      <c r="V45" s="38" t="s">
        <v>47</v>
      </c>
    </row>
    <row r="46">
      <c r="A46" s="113"/>
      <c r="B46" s="85" t="s">
        <v>16</v>
      </c>
      <c r="C46" s="86" t="s">
        <v>52</v>
      </c>
      <c r="D46" s="21">
        <f>D36-10</f>
        <v>230</v>
      </c>
      <c r="E46" s="87">
        <f t="shared" ref="E46:E51" si="16">D46+F46</f>
        <v>230</v>
      </c>
      <c r="F46" s="42"/>
      <c r="G46" s="30">
        <f>G36</f>
        <v>50</v>
      </c>
      <c r="H46" s="62">
        <f>$G$6+(E46/2)+$AB$6+(Z46/2)+$L$2</f>
        <v>210</v>
      </c>
      <c r="I46" s="30">
        <f>1-(E47/1000)</f>
        <v>0.64</v>
      </c>
      <c r="J46" s="88">
        <f>ROUND(POWER(E46/100,0.5),3)</f>
        <v>1.517</v>
      </c>
      <c r="K46" s="62">
        <f>(G48*J46*I46*N42)</f>
        <v>6.79616</v>
      </c>
      <c r="L46" s="62">
        <f>1+(L44-1)*(1-E50/500)</f>
        <v>1.2352</v>
      </c>
      <c r="M46" s="44">
        <f>M44+((1-M44)*0.5*E50/400)</f>
        <v>0.69725</v>
      </c>
      <c r="N46" s="62">
        <f>(E49+(Q46*N44))/1.3</f>
        <v>23.46153846</v>
      </c>
      <c r="O46" s="62">
        <f t="shared" ref="O46:P46" si="14">(D49+(P46*O44))/1.3</f>
        <v>26.92307692</v>
      </c>
      <c r="P46" s="62">
        <f t="shared" si="14"/>
        <v>30.38461538</v>
      </c>
      <c r="Q46" s="88">
        <f>3*(E48/100)</f>
        <v>3</v>
      </c>
      <c r="R46" s="62">
        <f>E48*1*(VLOOKUP(B46,SPIN!$M$27:$N$40,2,FALSE))</f>
        <v>6000</v>
      </c>
      <c r="S46" s="30">
        <f>E48*2*3.14/60</f>
        <v>10.46666667</v>
      </c>
      <c r="T46" s="45">
        <f t="shared" ref="T46:V46" si="15">$S46*T44*8</f>
        <v>8.373333333</v>
      </c>
      <c r="U46" s="45">
        <f t="shared" si="15"/>
        <v>111.3653333</v>
      </c>
      <c r="V46" s="46">
        <f t="shared" si="15"/>
        <v>-102.992</v>
      </c>
    </row>
    <row r="47">
      <c r="A47" s="113"/>
      <c r="B47" s="89"/>
      <c r="C47" s="86" t="s">
        <v>54</v>
      </c>
      <c r="D47" s="21">
        <f>D37+5</f>
        <v>360</v>
      </c>
      <c r="E47" s="87">
        <f t="shared" si="16"/>
        <v>360</v>
      </c>
      <c r="F47" s="42"/>
      <c r="G47" s="30" t="s">
        <v>55</v>
      </c>
      <c r="H47" s="75"/>
      <c r="I47" s="23"/>
      <c r="J47" s="75"/>
      <c r="K47" s="75"/>
      <c r="L47" s="75"/>
      <c r="M47" s="75"/>
      <c r="N47" s="75"/>
      <c r="O47" s="75"/>
      <c r="P47" s="75"/>
      <c r="Q47" s="75"/>
      <c r="R47" s="75"/>
      <c r="S47" s="23"/>
      <c r="T47" s="27"/>
      <c r="U47" s="27"/>
      <c r="V47" s="31"/>
    </row>
    <row r="48">
      <c r="A48" s="113"/>
      <c r="B48" s="89"/>
      <c r="C48" s="86" t="s">
        <v>57</v>
      </c>
      <c r="D48" s="21">
        <f>D58</f>
        <v>100</v>
      </c>
      <c r="E48" s="87">
        <f t="shared" si="16"/>
        <v>100</v>
      </c>
      <c r="F48" s="42"/>
      <c r="G48" s="30">
        <f>G38</f>
        <v>7</v>
      </c>
      <c r="H48" s="75"/>
      <c r="I48" s="23"/>
      <c r="J48" s="75"/>
      <c r="K48" s="75"/>
      <c r="L48" s="75"/>
      <c r="M48" s="75"/>
      <c r="N48" s="75"/>
      <c r="O48" s="75"/>
      <c r="P48" s="75"/>
      <c r="Q48" s="75"/>
      <c r="R48" s="75"/>
      <c r="S48" s="23"/>
      <c r="T48" s="27"/>
      <c r="U48" s="27"/>
      <c r="V48" s="31"/>
    </row>
    <row r="49">
      <c r="A49" s="113"/>
      <c r="B49" s="89"/>
      <c r="C49" s="86" t="s">
        <v>59</v>
      </c>
      <c r="D49" s="48">
        <f>'DEFAULT CLUBS-COMMON'!D49</f>
        <v>35</v>
      </c>
      <c r="E49" s="87">
        <f t="shared" si="16"/>
        <v>35</v>
      </c>
      <c r="F49" s="49"/>
      <c r="G49" s="50"/>
      <c r="H49" s="75"/>
      <c r="I49" s="23"/>
      <c r="J49" s="75"/>
      <c r="K49" s="75"/>
      <c r="L49" s="75"/>
      <c r="M49" s="75"/>
      <c r="N49" s="75"/>
      <c r="O49" s="75"/>
      <c r="P49" s="75"/>
      <c r="Q49" s="75"/>
      <c r="R49" s="75"/>
      <c r="S49" s="23"/>
      <c r="T49" s="27"/>
      <c r="U49" s="27"/>
      <c r="V49" s="31"/>
    </row>
    <row r="50">
      <c r="A50" s="113"/>
      <c r="B50" s="89"/>
      <c r="C50" s="86" t="s">
        <v>61</v>
      </c>
      <c r="D50" s="59">
        <f>D60-10</f>
        <v>108</v>
      </c>
      <c r="E50" s="87">
        <f t="shared" si="16"/>
        <v>108</v>
      </c>
      <c r="F50" s="42"/>
      <c r="G50" s="50"/>
      <c r="H50" s="75"/>
      <c r="I50" s="23"/>
      <c r="J50" s="75"/>
      <c r="K50" s="75"/>
      <c r="L50" s="75"/>
      <c r="M50" s="75"/>
      <c r="N50" s="75"/>
      <c r="O50" s="75"/>
      <c r="P50" s="75"/>
      <c r="Q50" s="75"/>
      <c r="R50" s="75"/>
      <c r="S50" s="23"/>
      <c r="T50" s="27"/>
      <c r="U50" s="27"/>
      <c r="V50" s="31"/>
    </row>
    <row r="51">
      <c r="A51" s="113"/>
      <c r="B51" s="90"/>
      <c r="C51" s="91" t="s">
        <v>62</v>
      </c>
      <c r="D51" s="60">
        <f>D41</f>
        <v>300</v>
      </c>
      <c r="E51" s="92">
        <f t="shared" si="16"/>
        <v>300</v>
      </c>
      <c r="F51" s="61"/>
      <c r="G51" s="55"/>
      <c r="H51" s="93"/>
      <c r="I51" s="56"/>
      <c r="J51" s="93"/>
      <c r="K51" s="93"/>
      <c r="L51" s="93"/>
      <c r="M51" s="93"/>
      <c r="N51" s="93"/>
      <c r="O51" s="93"/>
      <c r="P51" s="93"/>
      <c r="Q51" s="93"/>
      <c r="R51" s="93"/>
      <c r="S51" s="56"/>
      <c r="T51" s="57"/>
      <c r="U51" s="57"/>
      <c r="V51" s="58"/>
    </row>
    <row r="52">
      <c r="A52" s="113"/>
      <c r="B52" s="64"/>
      <c r="C52" s="65"/>
      <c r="D52" s="66"/>
      <c r="E52" s="66"/>
      <c r="F52" s="12"/>
      <c r="G52" s="13"/>
      <c r="H52" s="68" t="s">
        <v>27</v>
      </c>
      <c r="I52" s="14"/>
      <c r="J52" s="68"/>
      <c r="K52" s="68" t="s">
        <v>28</v>
      </c>
      <c r="L52" s="69">
        <f>RANDBETWEEN(0,3)</f>
        <v>2</v>
      </c>
      <c r="M52" s="68" t="s">
        <v>29</v>
      </c>
      <c r="N52" s="70">
        <v>1.0</v>
      </c>
      <c r="O52" s="68"/>
      <c r="P52" s="68"/>
      <c r="Q52" s="68"/>
      <c r="R52" s="68"/>
      <c r="S52" s="16"/>
      <c r="T52" s="17"/>
      <c r="U52" s="17"/>
      <c r="V52" s="18"/>
    </row>
    <row r="53">
      <c r="A53" s="113"/>
      <c r="B53" s="71"/>
      <c r="C53" s="72"/>
      <c r="D53" s="73"/>
      <c r="E53" s="73"/>
      <c r="F53" s="21"/>
      <c r="G53" s="22"/>
      <c r="H53" s="75"/>
      <c r="I53" s="23"/>
      <c r="J53" s="75"/>
      <c r="K53" s="75"/>
      <c r="L53" s="76" t="s">
        <v>33</v>
      </c>
      <c r="M53" s="76" t="s">
        <v>33</v>
      </c>
      <c r="N53" s="75"/>
      <c r="O53" s="75"/>
      <c r="P53" s="75"/>
      <c r="Q53" s="75"/>
      <c r="R53" s="75"/>
      <c r="S53" s="25"/>
      <c r="T53" s="26"/>
      <c r="U53" s="27" t="s">
        <v>34</v>
      </c>
      <c r="V53" s="28"/>
    </row>
    <row r="54">
      <c r="A54" s="113"/>
      <c r="B54" s="71"/>
      <c r="C54" s="72"/>
      <c r="D54" s="73"/>
      <c r="E54" s="73"/>
      <c r="F54" s="29" t="s">
        <v>31</v>
      </c>
      <c r="G54" s="30"/>
      <c r="H54" s="75"/>
      <c r="I54" s="23"/>
      <c r="J54" s="75"/>
      <c r="K54" s="75"/>
      <c r="L54" s="78">
        <f>VLOOKUP(L53,RECOVERY!$AA$8:$AP$10,7,FALSE)</f>
        <v>1.3</v>
      </c>
      <c r="M54" s="78">
        <f>VLOOKUP(M53,RECOVERY!$AA$27:$AP$29,7,FALSE)</f>
        <v>0.65</v>
      </c>
      <c r="N54" s="78">
        <v>-1.5</v>
      </c>
      <c r="O54" s="78">
        <v>0.0</v>
      </c>
      <c r="P54" s="78">
        <v>1.5</v>
      </c>
      <c r="Q54" s="75"/>
      <c r="R54" s="78" t="s">
        <v>35</v>
      </c>
      <c r="S54" s="25"/>
      <c r="T54" s="27">
        <v>0.1</v>
      </c>
      <c r="U54" s="27">
        <v>1.33</v>
      </c>
      <c r="V54" s="31">
        <v>-1.23</v>
      </c>
    </row>
    <row r="55">
      <c r="A55" s="113"/>
      <c r="B55" s="79" t="s">
        <v>69</v>
      </c>
      <c r="C55" s="80"/>
      <c r="D55" s="81" t="s">
        <v>36</v>
      </c>
      <c r="E55" s="82" t="s">
        <v>37</v>
      </c>
      <c r="F55" s="29" t="str">
        <f>F45</f>
        <v>0/235</v>
      </c>
      <c r="G55" s="30" t="s">
        <v>38</v>
      </c>
      <c r="H55" s="83" t="s">
        <v>39</v>
      </c>
      <c r="I55" s="36" t="s">
        <v>40</v>
      </c>
      <c r="J55" s="83" t="s">
        <v>41</v>
      </c>
      <c r="K55" s="83" t="s">
        <v>42</v>
      </c>
      <c r="L55" s="83" t="s">
        <v>43</v>
      </c>
      <c r="M55" s="83" t="s">
        <v>44</v>
      </c>
      <c r="N55" s="83" t="s">
        <v>45</v>
      </c>
      <c r="O55" s="83" t="s">
        <v>46</v>
      </c>
      <c r="P55" s="83" t="s">
        <v>47</v>
      </c>
      <c r="Q55" s="84" t="s">
        <v>48</v>
      </c>
      <c r="R55" s="36" t="s">
        <v>49</v>
      </c>
      <c r="S55" s="30" t="s">
        <v>50</v>
      </c>
      <c r="T55" s="37" t="s">
        <v>51</v>
      </c>
      <c r="U55" s="37" t="s">
        <v>45</v>
      </c>
      <c r="V55" s="38" t="s">
        <v>47</v>
      </c>
    </row>
    <row r="56">
      <c r="A56" s="113"/>
      <c r="B56" s="85" t="s">
        <v>17</v>
      </c>
      <c r="C56" s="86" t="s">
        <v>52</v>
      </c>
      <c r="D56" s="21">
        <f>D46-10</f>
        <v>220</v>
      </c>
      <c r="E56" s="87">
        <f t="shared" ref="E56:E61" si="19">D56+F56</f>
        <v>220</v>
      </c>
      <c r="F56" s="42"/>
      <c r="G56" s="30">
        <f>G46</f>
        <v>50</v>
      </c>
      <c r="H56" s="62">
        <f>$G$6+(E56/2)+$AB$6+(Z56/2)+$L$2</f>
        <v>205</v>
      </c>
      <c r="I56" s="30">
        <f>1-(E57/1000)</f>
        <v>0.64</v>
      </c>
      <c r="J56" s="88">
        <f>ROUND(POWER(E56/100,0.5),3)</f>
        <v>1.483</v>
      </c>
      <c r="K56" s="62">
        <f>(G58*J56*I56*N52)</f>
        <v>6.64384</v>
      </c>
      <c r="L56" s="62">
        <f>1+(L54-1)*(1-E60/500)</f>
        <v>1.2292</v>
      </c>
      <c r="M56" s="44">
        <f>M54+((1-M54)*0.5*E60/400)</f>
        <v>0.701625</v>
      </c>
      <c r="N56" s="62">
        <f>(E59+(Q56*N54))/1.3</f>
        <v>23.46153846</v>
      </c>
      <c r="O56" s="62">
        <f t="shared" ref="O56:P56" si="17">(D59+(P56*O54))/1.3</f>
        <v>26.92307692</v>
      </c>
      <c r="P56" s="62">
        <f t="shared" si="17"/>
        <v>30.38461538</v>
      </c>
      <c r="Q56" s="88">
        <f>3*(E58/100)</f>
        <v>3</v>
      </c>
      <c r="R56" s="62">
        <f>E58*1*(VLOOKUP(B56,SPIN!$M$27:$N$40,2,FALSE))</f>
        <v>6000</v>
      </c>
      <c r="S56" s="30">
        <f>E58*2*3.14/60</f>
        <v>10.46666667</v>
      </c>
      <c r="T56" s="45">
        <f t="shared" ref="T56:V56" si="18">$S56*T54*8</f>
        <v>8.373333333</v>
      </c>
      <c r="U56" s="45">
        <f t="shared" si="18"/>
        <v>111.3653333</v>
      </c>
      <c r="V56" s="46">
        <f t="shared" si="18"/>
        <v>-102.992</v>
      </c>
    </row>
    <row r="57">
      <c r="A57" s="113"/>
      <c r="B57" s="89"/>
      <c r="C57" s="86" t="s">
        <v>54</v>
      </c>
      <c r="D57" s="21">
        <f>D47</f>
        <v>360</v>
      </c>
      <c r="E57" s="87">
        <f t="shared" si="19"/>
        <v>360</v>
      </c>
      <c r="F57" s="42"/>
      <c r="G57" s="30" t="s">
        <v>55</v>
      </c>
      <c r="H57" s="75"/>
      <c r="I57" s="23"/>
      <c r="J57" s="75"/>
      <c r="K57" s="75"/>
      <c r="L57" s="75"/>
      <c r="M57" s="75"/>
      <c r="N57" s="75"/>
      <c r="O57" s="75"/>
      <c r="P57" s="75"/>
      <c r="Q57" s="75"/>
      <c r="R57" s="75"/>
      <c r="S57" s="23"/>
      <c r="T57" s="27"/>
      <c r="U57" s="27"/>
      <c r="V57" s="31"/>
    </row>
    <row r="58">
      <c r="A58" s="113"/>
      <c r="B58" s="89"/>
      <c r="C58" s="86" t="s">
        <v>57</v>
      </c>
      <c r="D58" s="21">
        <f>D68-10</f>
        <v>100</v>
      </c>
      <c r="E58" s="87">
        <f t="shared" si="19"/>
        <v>100</v>
      </c>
      <c r="F58" s="42"/>
      <c r="G58" s="30">
        <f>G48</f>
        <v>7</v>
      </c>
      <c r="H58" s="75"/>
      <c r="I58" s="23"/>
      <c r="J58" s="75"/>
      <c r="K58" s="75"/>
      <c r="L58" s="75"/>
      <c r="M58" s="75"/>
      <c r="N58" s="75"/>
      <c r="O58" s="75"/>
      <c r="P58" s="75"/>
      <c r="Q58" s="75"/>
      <c r="R58" s="75"/>
      <c r="S58" s="23"/>
      <c r="T58" s="27"/>
      <c r="U58" s="27"/>
      <c r="V58" s="31"/>
    </row>
    <row r="59">
      <c r="A59" s="113"/>
      <c r="B59" s="89"/>
      <c r="C59" s="86" t="s">
        <v>59</v>
      </c>
      <c r="D59" s="48">
        <f>'DEFAULT CLUBS-COMMON'!D59</f>
        <v>35</v>
      </c>
      <c r="E59" s="87">
        <f t="shared" si="19"/>
        <v>35</v>
      </c>
      <c r="F59" s="49"/>
      <c r="G59" s="50"/>
      <c r="H59" s="75"/>
      <c r="I59" s="23"/>
      <c r="J59" s="75"/>
      <c r="K59" s="75"/>
      <c r="L59" s="75"/>
      <c r="M59" s="75"/>
      <c r="N59" s="75"/>
      <c r="O59" s="75"/>
      <c r="P59" s="75"/>
      <c r="Q59" s="75"/>
      <c r="R59" s="75"/>
      <c r="S59" s="23"/>
      <c r="T59" s="27"/>
      <c r="U59" s="27"/>
      <c r="V59" s="31"/>
    </row>
    <row r="60">
      <c r="A60" s="113"/>
      <c r="B60" s="89"/>
      <c r="C60" s="86" t="s">
        <v>61</v>
      </c>
      <c r="D60" s="59">
        <f>D70</f>
        <v>118</v>
      </c>
      <c r="E60" s="87">
        <f t="shared" si="19"/>
        <v>118</v>
      </c>
      <c r="F60" s="42"/>
      <c r="G60" s="50"/>
      <c r="H60" s="75"/>
      <c r="I60" s="23"/>
      <c r="J60" s="75"/>
      <c r="K60" s="75"/>
      <c r="L60" s="75"/>
      <c r="M60" s="75"/>
      <c r="N60" s="75"/>
      <c r="O60" s="75"/>
      <c r="P60" s="75"/>
      <c r="Q60" s="75"/>
      <c r="R60" s="75"/>
      <c r="S60" s="23"/>
      <c r="T60" s="27"/>
      <c r="U60" s="27"/>
      <c r="V60" s="31"/>
    </row>
    <row r="61">
      <c r="A61" s="113"/>
      <c r="B61" s="90"/>
      <c r="C61" s="91" t="s">
        <v>62</v>
      </c>
      <c r="D61" s="60">
        <f>D51</f>
        <v>300</v>
      </c>
      <c r="E61" s="92">
        <f t="shared" si="19"/>
        <v>300</v>
      </c>
      <c r="F61" s="61"/>
      <c r="G61" s="55"/>
      <c r="H61" s="93"/>
      <c r="I61" s="56"/>
      <c r="J61" s="93"/>
      <c r="K61" s="93"/>
      <c r="L61" s="93"/>
      <c r="M61" s="93"/>
      <c r="N61" s="93"/>
      <c r="O61" s="93"/>
      <c r="P61" s="93"/>
      <c r="Q61" s="93"/>
      <c r="R61" s="93"/>
      <c r="S61" s="56"/>
      <c r="T61" s="57"/>
      <c r="U61" s="57"/>
      <c r="V61" s="58"/>
    </row>
    <row r="62">
      <c r="A62" s="113"/>
      <c r="B62" s="64"/>
      <c r="C62" s="65"/>
      <c r="D62" s="66"/>
      <c r="E62" s="66"/>
      <c r="F62" s="12"/>
      <c r="G62" s="13"/>
      <c r="H62" s="68" t="s">
        <v>27</v>
      </c>
      <c r="I62" s="14"/>
      <c r="J62" s="68"/>
      <c r="K62" s="68" t="s">
        <v>28</v>
      </c>
      <c r="L62" s="69">
        <f>RANDBETWEEN(0,3)</f>
        <v>3</v>
      </c>
      <c r="M62" s="68" t="s">
        <v>29</v>
      </c>
      <c r="N62" s="70">
        <v>1.0</v>
      </c>
      <c r="O62" s="68"/>
      <c r="P62" s="68"/>
      <c r="Q62" s="68"/>
      <c r="R62" s="68"/>
      <c r="S62" s="16"/>
      <c r="T62" s="17"/>
      <c r="U62" s="17"/>
      <c r="V62" s="18"/>
    </row>
    <row r="63">
      <c r="A63" s="113"/>
      <c r="B63" s="71"/>
      <c r="C63" s="72"/>
      <c r="D63" s="73"/>
      <c r="E63" s="73"/>
      <c r="F63" s="21"/>
      <c r="G63" s="22"/>
      <c r="H63" s="75"/>
      <c r="I63" s="23"/>
      <c r="J63" s="75"/>
      <c r="K63" s="75"/>
      <c r="L63" s="76" t="s">
        <v>33</v>
      </c>
      <c r="M63" s="76" t="s">
        <v>33</v>
      </c>
      <c r="N63" s="75"/>
      <c r="O63" s="75"/>
      <c r="P63" s="75"/>
      <c r="Q63" s="75"/>
      <c r="R63" s="75"/>
      <c r="S63" s="25"/>
      <c r="T63" s="26"/>
      <c r="U63" s="27" t="s">
        <v>34</v>
      </c>
      <c r="V63" s="28"/>
    </row>
    <row r="64">
      <c r="A64" s="113"/>
      <c r="B64" s="71"/>
      <c r="C64" s="72"/>
      <c r="D64" s="73"/>
      <c r="E64" s="73"/>
      <c r="F64" s="29" t="s">
        <v>31</v>
      </c>
      <c r="G64" s="30"/>
      <c r="H64" s="75"/>
      <c r="I64" s="23"/>
      <c r="J64" s="75"/>
      <c r="K64" s="75"/>
      <c r="L64" s="78">
        <f>VLOOKUP(L63,RECOVERY!$AA$8:$AP$10,8,FALSE)</f>
        <v>1.25</v>
      </c>
      <c r="M64" s="78">
        <f>VLOOKUP(M63,RECOVERY!$AA$27:$AP$29,8,FALSE)</f>
        <v>0.75</v>
      </c>
      <c r="N64" s="78">
        <v>-1.5</v>
      </c>
      <c r="O64" s="78">
        <v>0.0</v>
      </c>
      <c r="P64" s="78">
        <v>1.5</v>
      </c>
      <c r="Q64" s="75"/>
      <c r="R64" s="78" t="s">
        <v>35</v>
      </c>
      <c r="S64" s="25"/>
      <c r="T64" s="27">
        <v>0.1</v>
      </c>
      <c r="U64" s="27">
        <v>1.33</v>
      </c>
      <c r="V64" s="31">
        <v>-1.23</v>
      </c>
    </row>
    <row r="65">
      <c r="A65" s="113"/>
      <c r="B65" s="79" t="s">
        <v>69</v>
      </c>
      <c r="C65" s="80"/>
      <c r="D65" s="81" t="s">
        <v>36</v>
      </c>
      <c r="E65" s="82" t="s">
        <v>37</v>
      </c>
      <c r="F65" s="29" t="str">
        <f>F55</f>
        <v>0/235</v>
      </c>
      <c r="G65" s="30" t="s">
        <v>38</v>
      </c>
      <c r="H65" s="83" t="s">
        <v>39</v>
      </c>
      <c r="I65" s="36" t="s">
        <v>40</v>
      </c>
      <c r="J65" s="83" t="s">
        <v>41</v>
      </c>
      <c r="K65" s="83" t="s">
        <v>42</v>
      </c>
      <c r="L65" s="83" t="s">
        <v>43</v>
      </c>
      <c r="M65" s="83" t="s">
        <v>44</v>
      </c>
      <c r="N65" s="83" t="s">
        <v>45</v>
      </c>
      <c r="O65" s="83" t="s">
        <v>46</v>
      </c>
      <c r="P65" s="83" t="s">
        <v>47</v>
      </c>
      <c r="Q65" s="84" t="s">
        <v>48</v>
      </c>
      <c r="R65" s="36" t="s">
        <v>49</v>
      </c>
      <c r="S65" s="30" t="s">
        <v>50</v>
      </c>
      <c r="T65" s="37" t="s">
        <v>51</v>
      </c>
      <c r="U65" s="37" t="s">
        <v>45</v>
      </c>
      <c r="V65" s="38" t="s">
        <v>47</v>
      </c>
    </row>
    <row r="66">
      <c r="A66" s="113"/>
      <c r="B66" s="85" t="s">
        <v>18</v>
      </c>
      <c r="C66" s="86" t="s">
        <v>52</v>
      </c>
      <c r="D66" s="21">
        <f>D56-10</f>
        <v>210</v>
      </c>
      <c r="E66" s="87">
        <f t="shared" ref="E66:E71" si="22">D66+F66</f>
        <v>210</v>
      </c>
      <c r="F66" s="42"/>
      <c r="G66" s="30">
        <f>G56</f>
        <v>50</v>
      </c>
      <c r="H66" s="62">
        <f>$G$6+(E66/2)+$AB$6+(Z66/2)+$L$2</f>
        <v>200</v>
      </c>
      <c r="I66" s="30">
        <f>1-(E67/1000)</f>
        <v>0.635</v>
      </c>
      <c r="J66" s="88">
        <f>ROUND(POWER(E66/100,0.5),3)</f>
        <v>1.449</v>
      </c>
      <c r="K66" s="62">
        <f>(G68*J66*I66*N62)</f>
        <v>6.440805</v>
      </c>
      <c r="L66" s="62">
        <f>1+(L64-1)*(1-E70/500)</f>
        <v>1.191</v>
      </c>
      <c r="M66" s="44">
        <f>M64+((1-M64)*0.5*E70/400)</f>
        <v>0.786875</v>
      </c>
      <c r="N66" s="62">
        <f>(E69+(Q66*N64))/1.3</f>
        <v>23.11538462</v>
      </c>
      <c r="O66" s="62">
        <f t="shared" ref="O66:P66" si="20">(D69+(P66*O64))/1.3</f>
        <v>26.92307692</v>
      </c>
      <c r="P66" s="62">
        <f t="shared" si="20"/>
        <v>30.73076923</v>
      </c>
      <c r="Q66" s="88">
        <f>3*(E68/100)</f>
        <v>3.3</v>
      </c>
      <c r="R66" s="62">
        <f>E68*1*(VLOOKUP(B66,SPIN!$M$27:$N$40,2,FALSE))</f>
        <v>7700</v>
      </c>
      <c r="S66" s="30">
        <f>E68*2*3.14/60</f>
        <v>11.51333333</v>
      </c>
      <c r="T66" s="45">
        <f t="shared" ref="T66:V66" si="21">$S66*T64*8</f>
        <v>9.210666667</v>
      </c>
      <c r="U66" s="45">
        <f t="shared" si="21"/>
        <v>122.5018667</v>
      </c>
      <c r="V66" s="46">
        <f t="shared" si="21"/>
        <v>-113.2912</v>
      </c>
    </row>
    <row r="67">
      <c r="A67" s="113"/>
      <c r="B67" s="89"/>
      <c r="C67" s="86" t="s">
        <v>54</v>
      </c>
      <c r="D67" s="21">
        <f>D57+5</f>
        <v>365</v>
      </c>
      <c r="E67" s="87">
        <f t="shared" si="22"/>
        <v>365</v>
      </c>
      <c r="F67" s="42"/>
      <c r="G67" s="30" t="s">
        <v>55</v>
      </c>
      <c r="H67" s="75"/>
      <c r="I67" s="23"/>
      <c r="J67" s="75"/>
      <c r="K67" s="75"/>
      <c r="L67" s="75"/>
      <c r="M67" s="75"/>
      <c r="N67" s="75"/>
      <c r="O67" s="75"/>
      <c r="P67" s="75"/>
      <c r="Q67" s="75"/>
      <c r="R67" s="75"/>
      <c r="S67" s="23"/>
      <c r="T67" s="27"/>
      <c r="U67" s="27"/>
      <c r="V67" s="31"/>
    </row>
    <row r="68">
      <c r="A68" s="113"/>
      <c r="B68" s="89"/>
      <c r="C68" s="86" t="s">
        <v>57</v>
      </c>
      <c r="D68" s="21">
        <f>D78</f>
        <v>110</v>
      </c>
      <c r="E68" s="87">
        <f t="shared" si="22"/>
        <v>110</v>
      </c>
      <c r="F68" s="42"/>
      <c r="G68" s="30">
        <f>G58</f>
        <v>7</v>
      </c>
      <c r="H68" s="75"/>
      <c r="I68" s="23"/>
      <c r="J68" s="75"/>
      <c r="K68" s="75"/>
      <c r="L68" s="75"/>
      <c r="M68" s="75"/>
      <c r="N68" s="75"/>
      <c r="O68" s="75"/>
      <c r="P68" s="75"/>
      <c r="Q68" s="75"/>
      <c r="R68" s="75"/>
      <c r="S68" s="23"/>
      <c r="T68" s="27"/>
      <c r="U68" s="27"/>
      <c r="V68" s="31"/>
    </row>
    <row r="69">
      <c r="A69" s="113"/>
      <c r="B69" s="89"/>
      <c r="C69" s="86" t="s">
        <v>59</v>
      </c>
      <c r="D69" s="48">
        <f>'DEFAULT CLUBS-COMMON'!D69</f>
        <v>35</v>
      </c>
      <c r="E69" s="87">
        <f t="shared" si="22"/>
        <v>35</v>
      </c>
      <c r="F69" s="49"/>
      <c r="G69" s="50"/>
      <c r="H69" s="75"/>
      <c r="I69" s="23"/>
      <c r="J69" s="75"/>
      <c r="K69" s="75"/>
      <c r="L69" s="75"/>
      <c r="M69" s="75"/>
      <c r="N69" s="75"/>
      <c r="O69" s="75"/>
      <c r="P69" s="75"/>
      <c r="Q69" s="75"/>
      <c r="R69" s="75"/>
      <c r="S69" s="23"/>
      <c r="T69" s="27"/>
      <c r="U69" s="27"/>
      <c r="V69" s="31"/>
    </row>
    <row r="70">
      <c r="A70" s="113"/>
      <c r="B70" s="89"/>
      <c r="C70" s="86" t="s">
        <v>61</v>
      </c>
      <c r="D70" s="59">
        <f>D80</f>
        <v>118</v>
      </c>
      <c r="E70" s="87">
        <f t="shared" si="22"/>
        <v>118</v>
      </c>
      <c r="F70" s="42"/>
      <c r="G70" s="50"/>
      <c r="H70" s="75"/>
      <c r="I70" s="23"/>
      <c r="J70" s="75"/>
      <c r="K70" s="75"/>
      <c r="L70" s="75"/>
      <c r="M70" s="75"/>
      <c r="N70" s="75"/>
      <c r="O70" s="75"/>
      <c r="P70" s="75"/>
      <c r="Q70" s="75"/>
      <c r="R70" s="75"/>
      <c r="S70" s="23"/>
      <c r="T70" s="27"/>
      <c r="U70" s="27"/>
      <c r="V70" s="31"/>
    </row>
    <row r="71">
      <c r="A71" s="113"/>
      <c r="B71" s="95"/>
      <c r="C71" s="91" t="s">
        <v>62</v>
      </c>
      <c r="D71" s="60">
        <f>D61</f>
        <v>300</v>
      </c>
      <c r="E71" s="92">
        <f t="shared" si="22"/>
        <v>300</v>
      </c>
      <c r="F71" s="61"/>
      <c r="G71" s="55"/>
      <c r="H71" s="93"/>
      <c r="I71" s="56"/>
      <c r="J71" s="93"/>
      <c r="K71" s="93"/>
      <c r="L71" s="93"/>
      <c r="M71" s="93"/>
      <c r="N71" s="93"/>
      <c r="O71" s="93"/>
      <c r="P71" s="93"/>
      <c r="Q71" s="93"/>
      <c r="R71" s="93"/>
      <c r="S71" s="56"/>
      <c r="T71" s="57"/>
      <c r="U71" s="57"/>
      <c r="V71" s="58"/>
    </row>
    <row r="72">
      <c r="A72" s="113"/>
      <c r="B72" s="64"/>
      <c r="C72" s="65"/>
      <c r="D72" s="66"/>
      <c r="E72" s="66"/>
      <c r="F72" s="12"/>
      <c r="G72" s="13"/>
      <c r="H72" s="68" t="s">
        <v>27</v>
      </c>
      <c r="I72" s="14"/>
      <c r="J72" s="68"/>
      <c r="K72" s="68" t="s">
        <v>28</v>
      </c>
      <c r="L72" s="69">
        <f>RANDBETWEEN(0,3)</f>
        <v>3</v>
      </c>
      <c r="M72" s="68" t="s">
        <v>29</v>
      </c>
      <c r="N72" s="70">
        <v>1.0</v>
      </c>
      <c r="O72" s="68"/>
      <c r="P72" s="68"/>
      <c r="Q72" s="68"/>
      <c r="R72" s="68"/>
      <c r="S72" s="16"/>
      <c r="T72" s="17"/>
      <c r="U72" s="17"/>
      <c r="V72" s="18"/>
    </row>
    <row r="73">
      <c r="A73" s="113"/>
      <c r="B73" s="71"/>
      <c r="C73" s="72"/>
      <c r="D73" s="73"/>
      <c r="E73" s="73"/>
      <c r="F73" s="21"/>
      <c r="G73" s="22"/>
      <c r="H73" s="75"/>
      <c r="I73" s="23"/>
      <c r="J73" s="75"/>
      <c r="K73" s="75"/>
      <c r="L73" s="76" t="s">
        <v>33</v>
      </c>
      <c r="M73" s="76" t="s">
        <v>33</v>
      </c>
      <c r="N73" s="75"/>
      <c r="O73" s="75"/>
      <c r="P73" s="75"/>
      <c r="Q73" s="75"/>
      <c r="R73" s="75"/>
      <c r="S73" s="25"/>
      <c r="T73" s="26"/>
      <c r="U73" s="27" t="s">
        <v>34</v>
      </c>
      <c r="V73" s="28"/>
    </row>
    <row r="74">
      <c r="A74" s="113"/>
      <c r="B74" s="71"/>
      <c r="C74" s="72"/>
      <c r="D74" s="73"/>
      <c r="E74" s="73"/>
      <c r="F74" s="29" t="s">
        <v>31</v>
      </c>
      <c r="G74" s="30"/>
      <c r="H74" s="75"/>
      <c r="I74" s="23"/>
      <c r="J74" s="75"/>
      <c r="K74" s="75"/>
      <c r="L74" s="78">
        <f>VLOOKUP(L73,RECOVERY!$AA$8:$AP$10,9,FALSE)</f>
        <v>1.25</v>
      </c>
      <c r="M74" s="78">
        <f>VLOOKUP(M73,RECOVERY!$AA$27:$AP$29,9,FALSE)</f>
        <v>0.75</v>
      </c>
      <c r="N74" s="78">
        <v>-1.5</v>
      </c>
      <c r="O74" s="78">
        <v>0.0</v>
      </c>
      <c r="P74" s="78">
        <v>1.5</v>
      </c>
      <c r="Q74" s="75"/>
      <c r="R74" s="78" t="s">
        <v>35</v>
      </c>
      <c r="S74" s="25"/>
      <c r="T74" s="27">
        <v>0.1</v>
      </c>
      <c r="U74" s="27">
        <v>1.33</v>
      </c>
      <c r="V74" s="31">
        <v>-1.23</v>
      </c>
    </row>
    <row r="75">
      <c r="A75" s="113"/>
      <c r="B75" s="79" t="s">
        <v>69</v>
      </c>
      <c r="C75" s="80"/>
      <c r="D75" s="81" t="s">
        <v>36</v>
      </c>
      <c r="E75" s="82" t="s">
        <v>37</v>
      </c>
      <c r="F75" s="29" t="str">
        <f>F65</f>
        <v>0/235</v>
      </c>
      <c r="G75" s="30" t="s">
        <v>38</v>
      </c>
      <c r="H75" s="83" t="s">
        <v>39</v>
      </c>
      <c r="I75" s="36" t="s">
        <v>40</v>
      </c>
      <c r="J75" s="83" t="s">
        <v>41</v>
      </c>
      <c r="K75" s="83" t="s">
        <v>42</v>
      </c>
      <c r="L75" s="83" t="s">
        <v>43</v>
      </c>
      <c r="M75" s="83" t="s">
        <v>44</v>
      </c>
      <c r="N75" s="83" t="s">
        <v>45</v>
      </c>
      <c r="O75" s="83" t="s">
        <v>46</v>
      </c>
      <c r="P75" s="83" t="s">
        <v>47</v>
      </c>
      <c r="Q75" s="84" t="s">
        <v>48</v>
      </c>
      <c r="R75" s="36" t="s">
        <v>49</v>
      </c>
      <c r="S75" s="30" t="s">
        <v>50</v>
      </c>
      <c r="T75" s="37" t="s">
        <v>51</v>
      </c>
      <c r="U75" s="37" t="s">
        <v>45</v>
      </c>
      <c r="V75" s="38" t="s">
        <v>47</v>
      </c>
    </row>
    <row r="76">
      <c r="A76" s="113"/>
      <c r="B76" s="85" t="s">
        <v>19</v>
      </c>
      <c r="C76" s="86" t="s">
        <v>52</v>
      </c>
      <c r="D76" s="21">
        <f>D66-10</f>
        <v>200</v>
      </c>
      <c r="E76" s="87">
        <f t="shared" ref="E76:E81" si="25">D76+F76</f>
        <v>200</v>
      </c>
      <c r="F76" s="42"/>
      <c r="G76" s="30">
        <f>G66</f>
        <v>50</v>
      </c>
      <c r="H76" s="62">
        <f>$G$6+(E76/2)+$AB$6+(Z76/2)+$L$2</f>
        <v>195</v>
      </c>
      <c r="I76" s="30">
        <f>1-(E77/1000)</f>
        <v>0.635</v>
      </c>
      <c r="J76" s="88">
        <f>ROUND(POWER(E76/100,0.5),3)</f>
        <v>1.414</v>
      </c>
      <c r="K76" s="62">
        <f>(G78*J76*I76*N72)</f>
        <v>6.28523</v>
      </c>
      <c r="L76" s="62">
        <f>1+(L74-1)*(1-E80/500)</f>
        <v>1.191</v>
      </c>
      <c r="M76" s="44">
        <f>M74+((1-M74)*0.5*E80/400)</f>
        <v>0.786875</v>
      </c>
      <c r="N76" s="62">
        <f>(E79+(Q76*N74))/1.3</f>
        <v>23.11538462</v>
      </c>
      <c r="O76" s="62">
        <f t="shared" ref="O76:P76" si="23">(D79+(P76*O74))/1.3</f>
        <v>26.92307692</v>
      </c>
      <c r="P76" s="62">
        <f t="shared" si="23"/>
        <v>30.73076923</v>
      </c>
      <c r="Q76" s="88">
        <f>3*(E78/100)</f>
        <v>3.3</v>
      </c>
      <c r="R76" s="62">
        <f>E78*1*(VLOOKUP(B76,SPIN!$M$27:$N$40,2,FALSE))</f>
        <v>7700</v>
      </c>
      <c r="S76" s="30">
        <f>E78*2*3.14/60</f>
        <v>11.51333333</v>
      </c>
      <c r="T76" s="45">
        <f t="shared" ref="T76:V76" si="24">$S76*T74*8</f>
        <v>9.210666667</v>
      </c>
      <c r="U76" s="45">
        <f t="shared" si="24"/>
        <v>122.5018667</v>
      </c>
      <c r="V76" s="46">
        <f t="shared" si="24"/>
        <v>-113.2912</v>
      </c>
    </row>
    <row r="77">
      <c r="A77" s="113"/>
      <c r="B77" s="89"/>
      <c r="C77" s="86" t="s">
        <v>54</v>
      </c>
      <c r="D77" s="21">
        <f>D67</f>
        <v>365</v>
      </c>
      <c r="E77" s="87">
        <f t="shared" si="25"/>
        <v>365</v>
      </c>
      <c r="F77" s="42"/>
      <c r="G77" s="30" t="s">
        <v>55</v>
      </c>
      <c r="H77" s="75"/>
      <c r="I77" s="23"/>
      <c r="J77" s="75"/>
      <c r="K77" s="75"/>
      <c r="L77" s="75"/>
      <c r="M77" s="75"/>
      <c r="N77" s="75"/>
      <c r="O77" s="75"/>
      <c r="P77" s="75"/>
      <c r="Q77" s="75"/>
      <c r="R77" s="75"/>
      <c r="S77" s="23"/>
      <c r="T77" s="27"/>
      <c r="U77" s="27"/>
      <c r="V77" s="31"/>
    </row>
    <row r="78">
      <c r="A78" s="113"/>
      <c r="B78" s="89"/>
      <c r="C78" s="86" t="s">
        <v>57</v>
      </c>
      <c r="D78" s="21">
        <f>D88</f>
        <v>110</v>
      </c>
      <c r="E78" s="87">
        <f t="shared" si="25"/>
        <v>110</v>
      </c>
      <c r="F78" s="42"/>
      <c r="G78" s="30">
        <f>G68</f>
        <v>7</v>
      </c>
      <c r="H78" s="75"/>
      <c r="I78" s="23"/>
      <c r="J78" s="75"/>
      <c r="K78" s="75"/>
      <c r="L78" s="75"/>
      <c r="M78" s="75"/>
      <c r="N78" s="75"/>
      <c r="O78" s="75"/>
      <c r="P78" s="75"/>
      <c r="Q78" s="75"/>
      <c r="R78" s="75"/>
      <c r="S78" s="23"/>
      <c r="T78" s="27"/>
      <c r="U78" s="27"/>
      <c r="V78" s="31"/>
    </row>
    <row r="79">
      <c r="A79" s="113"/>
      <c r="B79" s="89"/>
      <c r="C79" s="86" t="s">
        <v>59</v>
      </c>
      <c r="D79" s="48">
        <f>'DEFAULT CLUBS-COMMON'!D79</f>
        <v>35</v>
      </c>
      <c r="E79" s="87">
        <f t="shared" si="25"/>
        <v>35</v>
      </c>
      <c r="F79" s="49"/>
      <c r="G79" s="50"/>
      <c r="H79" s="75"/>
      <c r="I79" s="23"/>
      <c r="J79" s="75"/>
      <c r="K79" s="75"/>
      <c r="L79" s="75"/>
      <c r="M79" s="75"/>
      <c r="N79" s="75"/>
      <c r="O79" s="75"/>
      <c r="P79" s="75"/>
      <c r="Q79" s="75"/>
      <c r="R79" s="75"/>
      <c r="S79" s="23"/>
      <c r="T79" s="27"/>
      <c r="U79" s="27"/>
      <c r="V79" s="31"/>
    </row>
    <row r="80">
      <c r="A80" s="113"/>
      <c r="B80" s="89"/>
      <c r="C80" s="86" t="s">
        <v>61</v>
      </c>
      <c r="D80" s="59">
        <f>D90-12</f>
        <v>118</v>
      </c>
      <c r="E80" s="87">
        <f t="shared" si="25"/>
        <v>118</v>
      </c>
      <c r="F80" s="42"/>
      <c r="G80" s="50"/>
      <c r="H80" s="75"/>
      <c r="I80" s="23"/>
      <c r="J80" s="75"/>
      <c r="K80" s="75"/>
      <c r="L80" s="75"/>
      <c r="M80" s="75"/>
      <c r="N80" s="75"/>
      <c r="O80" s="75"/>
      <c r="P80" s="75"/>
      <c r="Q80" s="75"/>
      <c r="R80" s="75"/>
      <c r="S80" s="23"/>
      <c r="T80" s="27"/>
      <c r="U80" s="27"/>
      <c r="V80" s="31"/>
    </row>
    <row r="81">
      <c r="A81" s="113"/>
      <c r="B81" s="90"/>
      <c r="C81" s="91" t="s">
        <v>62</v>
      </c>
      <c r="D81" s="60">
        <f>D71</f>
        <v>300</v>
      </c>
      <c r="E81" s="92">
        <f t="shared" si="25"/>
        <v>300</v>
      </c>
      <c r="F81" s="61"/>
      <c r="G81" s="55"/>
      <c r="H81" s="93"/>
      <c r="I81" s="56"/>
      <c r="J81" s="93"/>
      <c r="K81" s="93"/>
      <c r="L81" s="93"/>
      <c r="M81" s="93"/>
      <c r="N81" s="93"/>
      <c r="O81" s="93"/>
      <c r="P81" s="93"/>
      <c r="Q81" s="93"/>
      <c r="R81" s="93"/>
      <c r="S81" s="56"/>
      <c r="T81" s="57"/>
      <c r="U81" s="57"/>
      <c r="V81" s="58"/>
    </row>
    <row r="82">
      <c r="A82" s="113"/>
      <c r="B82" s="64"/>
      <c r="C82" s="65"/>
      <c r="D82" s="66"/>
      <c r="E82" s="66"/>
      <c r="F82" s="12"/>
      <c r="G82" s="13"/>
      <c r="H82" s="68" t="s">
        <v>27</v>
      </c>
      <c r="I82" s="14"/>
      <c r="J82" s="68"/>
      <c r="K82" s="68" t="s">
        <v>28</v>
      </c>
      <c r="L82" s="69">
        <f>RANDBETWEEN(0,3)</f>
        <v>3</v>
      </c>
      <c r="M82" s="68" t="s">
        <v>29</v>
      </c>
      <c r="N82" s="70">
        <v>1.0</v>
      </c>
      <c r="O82" s="68"/>
      <c r="P82" s="68"/>
      <c r="Q82" s="68"/>
      <c r="R82" s="68"/>
      <c r="S82" s="16"/>
      <c r="T82" s="17"/>
      <c r="U82" s="17"/>
      <c r="V82" s="18"/>
    </row>
    <row r="83">
      <c r="A83" s="113"/>
      <c r="B83" s="71"/>
      <c r="C83" s="72"/>
      <c r="D83" s="73"/>
      <c r="E83" s="73"/>
      <c r="F83" s="21"/>
      <c r="G83" s="22"/>
      <c r="H83" s="75"/>
      <c r="I83" s="23"/>
      <c r="J83" s="75"/>
      <c r="K83" s="75"/>
      <c r="L83" s="76" t="s">
        <v>33</v>
      </c>
      <c r="M83" s="76" t="s">
        <v>33</v>
      </c>
      <c r="N83" s="75"/>
      <c r="O83" s="75"/>
      <c r="P83" s="75"/>
      <c r="Q83" s="75"/>
      <c r="R83" s="75"/>
      <c r="S83" s="25"/>
      <c r="T83" s="26"/>
      <c r="U83" s="27" t="s">
        <v>34</v>
      </c>
      <c r="V83" s="28"/>
    </row>
    <row r="84">
      <c r="A84" s="113"/>
      <c r="B84" s="71"/>
      <c r="C84" s="72"/>
      <c r="D84" s="73"/>
      <c r="E84" s="73"/>
      <c r="F84" s="29" t="s">
        <v>31</v>
      </c>
      <c r="G84" s="30"/>
      <c r="H84" s="75"/>
      <c r="I84" s="23"/>
      <c r="J84" s="75"/>
      <c r="K84" s="75"/>
      <c r="L84" s="78">
        <f>VLOOKUP(L83,RECOVERY!$AA$8:$AP$10,10,FALSE)</f>
        <v>1.25</v>
      </c>
      <c r="M84" s="78">
        <f>VLOOKUP(M83,RECOVERY!$AA$27:$AP$29,10,FALSE)</f>
        <v>0.75</v>
      </c>
      <c r="N84" s="78">
        <v>-1.5</v>
      </c>
      <c r="O84" s="78">
        <v>0.0</v>
      </c>
      <c r="P84" s="78">
        <v>1.5</v>
      </c>
      <c r="Q84" s="75"/>
      <c r="R84" s="78" t="s">
        <v>35</v>
      </c>
      <c r="S84" s="25"/>
      <c r="T84" s="27">
        <v>0.1</v>
      </c>
      <c r="U84" s="27">
        <v>1.33</v>
      </c>
      <c r="V84" s="31">
        <v>-1.23</v>
      </c>
    </row>
    <row r="85">
      <c r="A85" s="113"/>
      <c r="B85" s="79" t="s">
        <v>69</v>
      </c>
      <c r="C85" s="80"/>
      <c r="D85" s="81" t="s">
        <v>36</v>
      </c>
      <c r="E85" s="82" t="s">
        <v>37</v>
      </c>
      <c r="F85" s="29" t="str">
        <f>F75</f>
        <v>0/235</v>
      </c>
      <c r="G85" s="30" t="s">
        <v>38</v>
      </c>
      <c r="H85" s="83" t="s">
        <v>39</v>
      </c>
      <c r="I85" s="36" t="s">
        <v>40</v>
      </c>
      <c r="J85" s="83" t="s">
        <v>41</v>
      </c>
      <c r="K85" s="83" t="s">
        <v>42</v>
      </c>
      <c r="L85" s="83" t="s">
        <v>43</v>
      </c>
      <c r="M85" s="83" t="s">
        <v>44</v>
      </c>
      <c r="N85" s="83" t="s">
        <v>45</v>
      </c>
      <c r="O85" s="83" t="s">
        <v>46</v>
      </c>
      <c r="P85" s="83" t="s">
        <v>47</v>
      </c>
      <c r="Q85" s="84" t="s">
        <v>48</v>
      </c>
      <c r="R85" s="36" t="s">
        <v>49</v>
      </c>
      <c r="S85" s="30" t="s">
        <v>50</v>
      </c>
      <c r="T85" s="37" t="s">
        <v>51</v>
      </c>
      <c r="U85" s="37" t="s">
        <v>45</v>
      </c>
      <c r="V85" s="38" t="s">
        <v>47</v>
      </c>
    </row>
    <row r="86">
      <c r="A86" s="113"/>
      <c r="B86" s="85" t="s">
        <v>20</v>
      </c>
      <c r="C86" s="86" t="s">
        <v>52</v>
      </c>
      <c r="D86" s="21">
        <f>D76-10</f>
        <v>190</v>
      </c>
      <c r="E86" s="87">
        <f t="shared" ref="E86:E91" si="28">D86+F86</f>
        <v>190</v>
      </c>
      <c r="F86" s="42"/>
      <c r="G86" s="30">
        <f>G76</f>
        <v>50</v>
      </c>
      <c r="H86" s="62">
        <f>$G$6+(E86/2)+$AB$6+(Z86/2)+$L$2</f>
        <v>190</v>
      </c>
      <c r="I86" s="30">
        <f>1-(E87/1000)</f>
        <v>0.63</v>
      </c>
      <c r="J86" s="88">
        <f>ROUND(POWER(E86/100,0.5),3)</f>
        <v>1.378</v>
      </c>
      <c r="K86" s="62">
        <f>(G88*J86*I86*N82)</f>
        <v>6.07698</v>
      </c>
      <c r="L86" s="62">
        <f>1+(L84-1)*(1-E90/500)</f>
        <v>1.185</v>
      </c>
      <c r="M86" s="44">
        <f>M84+((1-M84)*0.5*E90/400)</f>
        <v>0.790625</v>
      </c>
      <c r="N86" s="62">
        <f>(E89+(Q86*N84))/1.3</f>
        <v>23.11538462</v>
      </c>
      <c r="O86" s="62">
        <f t="shared" ref="O86:P86" si="26">(D89+(P86*O84))/1.3</f>
        <v>26.92307692</v>
      </c>
      <c r="P86" s="62">
        <f t="shared" si="26"/>
        <v>30.73076923</v>
      </c>
      <c r="Q86" s="88">
        <f>3*(E88/100)</f>
        <v>3.3</v>
      </c>
      <c r="R86" s="62">
        <f>E88*1*(VLOOKUP(B86,SPIN!$M$27:$N$40,2,FALSE))</f>
        <v>7700</v>
      </c>
      <c r="S86" s="30">
        <f>E88*2*3.14/60</f>
        <v>11.51333333</v>
      </c>
      <c r="T86" s="45">
        <f t="shared" ref="T86:V86" si="27">$S86*T84*8</f>
        <v>9.210666667</v>
      </c>
      <c r="U86" s="45">
        <f t="shared" si="27"/>
        <v>122.5018667</v>
      </c>
      <c r="V86" s="46">
        <f t="shared" si="27"/>
        <v>-113.2912</v>
      </c>
    </row>
    <row r="87">
      <c r="A87" s="113"/>
      <c r="B87" s="89"/>
      <c r="C87" s="86" t="s">
        <v>54</v>
      </c>
      <c r="D87" s="21">
        <f>D77+5</f>
        <v>370</v>
      </c>
      <c r="E87" s="87">
        <f t="shared" si="28"/>
        <v>370</v>
      </c>
      <c r="F87" s="42"/>
      <c r="G87" s="30" t="s">
        <v>55</v>
      </c>
      <c r="H87" s="75"/>
      <c r="I87" s="23"/>
      <c r="J87" s="75"/>
      <c r="K87" s="75"/>
      <c r="L87" s="75"/>
      <c r="M87" s="75"/>
      <c r="N87" s="75"/>
      <c r="O87" s="75"/>
      <c r="P87" s="75"/>
      <c r="Q87" s="75"/>
      <c r="R87" s="75"/>
      <c r="S87" s="23"/>
      <c r="T87" s="27"/>
      <c r="U87" s="27"/>
      <c r="V87" s="31"/>
    </row>
    <row r="88">
      <c r="A88" s="113"/>
      <c r="B88" s="89"/>
      <c r="C88" s="86" t="s">
        <v>57</v>
      </c>
      <c r="D88" s="21">
        <f>D98-5</f>
        <v>110</v>
      </c>
      <c r="E88" s="87">
        <f t="shared" si="28"/>
        <v>110</v>
      </c>
      <c r="F88" s="42"/>
      <c r="G88" s="30">
        <f>G78</f>
        <v>7</v>
      </c>
      <c r="H88" s="75"/>
      <c r="I88" s="23"/>
      <c r="J88" s="75"/>
      <c r="K88" s="75"/>
      <c r="L88" s="75"/>
      <c r="M88" s="75"/>
      <c r="N88" s="75"/>
      <c r="O88" s="75"/>
      <c r="P88" s="75"/>
      <c r="Q88" s="75"/>
      <c r="R88" s="75"/>
      <c r="S88" s="23"/>
      <c r="T88" s="27"/>
      <c r="U88" s="27"/>
      <c r="V88" s="31"/>
    </row>
    <row r="89">
      <c r="A89" s="113"/>
      <c r="B89" s="89"/>
      <c r="C89" s="86" t="s">
        <v>59</v>
      </c>
      <c r="D89" s="48">
        <f>'DEFAULT CLUBS-COMMON'!D89</f>
        <v>35</v>
      </c>
      <c r="E89" s="87">
        <f t="shared" si="28"/>
        <v>35</v>
      </c>
      <c r="F89" s="49"/>
      <c r="G89" s="50"/>
      <c r="H89" s="75"/>
      <c r="I89" s="23"/>
      <c r="J89" s="75"/>
      <c r="K89" s="75"/>
      <c r="L89" s="75"/>
      <c r="M89" s="75"/>
      <c r="N89" s="75"/>
      <c r="O89" s="75"/>
      <c r="P89" s="75"/>
      <c r="Q89" s="75"/>
      <c r="R89" s="75"/>
      <c r="S89" s="23"/>
      <c r="T89" s="27"/>
      <c r="U89" s="27"/>
      <c r="V89" s="31"/>
    </row>
    <row r="90">
      <c r="A90" s="113"/>
      <c r="B90" s="89"/>
      <c r="C90" s="86" t="s">
        <v>61</v>
      </c>
      <c r="D90" s="59">
        <f>D100</f>
        <v>130</v>
      </c>
      <c r="E90" s="87">
        <f t="shared" si="28"/>
        <v>130</v>
      </c>
      <c r="F90" s="42"/>
      <c r="G90" s="50"/>
      <c r="H90" s="75"/>
      <c r="I90" s="23"/>
      <c r="J90" s="75"/>
      <c r="K90" s="75"/>
      <c r="L90" s="75"/>
      <c r="M90" s="75"/>
      <c r="N90" s="75"/>
      <c r="O90" s="75"/>
      <c r="P90" s="75"/>
      <c r="Q90" s="75"/>
      <c r="R90" s="75"/>
      <c r="S90" s="23"/>
      <c r="T90" s="27"/>
      <c r="U90" s="27"/>
      <c r="V90" s="31"/>
    </row>
    <row r="91">
      <c r="A91" s="113"/>
      <c r="B91" s="90"/>
      <c r="C91" s="91" t="s">
        <v>62</v>
      </c>
      <c r="D91" s="60">
        <f>D81</f>
        <v>300</v>
      </c>
      <c r="E91" s="92">
        <f t="shared" si="28"/>
        <v>300</v>
      </c>
      <c r="F91" s="61"/>
      <c r="G91" s="55"/>
      <c r="H91" s="93"/>
      <c r="I91" s="56"/>
      <c r="J91" s="93"/>
      <c r="K91" s="93"/>
      <c r="L91" s="93"/>
      <c r="M91" s="93"/>
      <c r="N91" s="93"/>
      <c r="O91" s="93"/>
      <c r="P91" s="93"/>
      <c r="Q91" s="93"/>
      <c r="R91" s="93"/>
      <c r="S91" s="56"/>
      <c r="T91" s="57"/>
      <c r="U91" s="57"/>
      <c r="V91" s="58"/>
    </row>
    <row r="92">
      <c r="A92" s="113"/>
      <c r="B92" s="64"/>
      <c r="C92" s="65"/>
      <c r="D92" s="66"/>
      <c r="E92" s="66"/>
      <c r="F92" s="12"/>
      <c r="G92" s="13"/>
      <c r="H92" s="68" t="s">
        <v>27</v>
      </c>
      <c r="I92" s="14"/>
      <c r="J92" s="68"/>
      <c r="K92" s="68" t="s">
        <v>28</v>
      </c>
      <c r="L92" s="69">
        <f>RANDBETWEEN(0,3)</f>
        <v>2</v>
      </c>
      <c r="M92" s="68" t="s">
        <v>29</v>
      </c>
      <c r="N92" s="70">
        <v>1.0</v>
      </c>
      <c r="O92" s="68"/>
      <c r="P92" s="68"/>
      <c r="Q92" s="68"/>
      <c r="R92" s="68"/>
      <c r="S92" s="16"/>
      <c r="T92" s="17"/>
      <c r="U92" s="17"/>
      <c r="V92" s="18"/>
    </row>
    <row r="93">
      <c r="A93" s="113"/>
      <c r="B93" s="71"/>
      <c r="C93" s="72"/>
      <c r="D93" s="73"/>
      <c r="E93" s="73"/>
      <c r="F93" s="21"/>
      <c r="G93" s="22"/>
      <c r="H93" s="75"/>
      <c r="I93" s="23"/>
      <c r="J93" s="75"/>
      <c r="K93" s="75"/>
      <c r="L93" s="76" t="s">
        <v>33</v>
      </c>
      <c r="M93" s="76" t="s">
        <v>33</v>
      </c>
      <c r="N93" s="75"/>
      <c r="O93" s="75"/>
      <c r="P93" s="75"/>
      <c r="Q93" s="75"/>
      <c r="R93" s="75"/>
      <c r="S93" s="25"/>
      <c r="T93" s="26"/>
      <c r="U93" s="27" t="s">
        <v>34</v>
      </c>
      <c r="V93" s="28"/>
    </row>
    <row r="94">
      <c r="A94" s="113"/>
      <c r="B94" s="71"/>
      <c r="C94" s="72"/>
      <c r="D94" s="73"/>
      <c r="E94" s="73"/>
      <c r="F94" s="29" t="s">
        <v>31</v>
      </c>
      <c r="G94" s="30"/>
      <c r="H94" s="75"/>
      <c r="I94" s="23"/>
      <c r="J94" s="75"/>
      <c r="K94" s="75"/>
      <c r="L94" s="78">
        <f>VLOOKUP(L93,RECOVERY!$AA$8:$AP$10,11,FALSE)</f>
        <v>1.2</v>
      </c>
      <c r="M94" s="78">
        <f>VLOOKUP(M93,RECOVERY!$AA$27:$AP$29,11,FALSE)</f>
        <v>0.75</v>
      </c>
      <c r="N94" s="78">
        <v>-1.5</v>
      </c>
      <c r="O94" s="78">
        <v>0.0</v>
      </c>
      <c r="P94" s="78">
        <v>1.5</v>
      </c>
      <c r="Q94" s="75"/>
      <c r="R94" s="78" t="s">
        <v>35</v>
      </c>
      <c r="S94" s="25"/>
      <c r="T94" s="27">
        <v>0.1</v>
      </c>
      <c r="U94" s="27">
        <v>1.33</v>
      </c>
      <c r="V94" s="31">
        <v>-1.23</v>
      </c>
    </row>
    <row r="95">
      <c r="A95" s="113"/>
      <c r="B95" s="79" t="s">
        <v>69</v>
      </c>
      <c r="C95" s="80"/>
      <c r="D95" s="81" t="s">
        <v>36</v>
      </c>
      <c r="E95" s="82" t="s">
        <v>37</v>
      </c>
      <c r="F95" s="29" t="str">
        <f>F85</f>
        <v>0/235</v>
      </c>
      <c r="G95" s="30" t="s">
        <v>38</v>
      </c>
      <c r="H95" s="83" t="s">
        <v>39</v>
      </c>
      <c r="I95" s="36" t="s">
        <v>40</v>
      </c>
      <c r="J95" s="83" t="s">
        <v>41</v>
      </c>
      <c r="K95" s="83" t="s">
        <v>42</v>
      </c>
      <c r="L95" s="83" t="s">
        <v>43</v>
      </c>
      <c r="M95" s="83" t="s">
        <v>44</v>
      </c>
      <c r="N95" s="83" t="s">
        <v>45</v>
      </c>
      <c r="O95" s="83" t="s">
        <v>46</v>
      </c>
      <c r="P95" s="83" t="s">
        <v>47</v>
      </c>
      <c r="Q95" s="84" t="s">
        <v>48</v>
      </c>
      <c r="R95" s="36" t="s">
        <v>49</v>
      </c>
      <c r="S95" s="30" t="s">
        <v>50</v>
      </c>
      <c r="T95" s="37" t="s">
        <v>51</v>
      </c>
      <c r="U95" s="37" t="s">
        <v>45</v>
      </c>
      <c r="V95" s="38" t="s">
        <v>47</v>
      </c>
    </row>
    <row r="96">
      <c r="A96" s="113"/>
      <c r="B96" s="85" t="s">
        <v>21</v>
      </c>
      <c r="C96" s="86" t="s">
        <v>52</v>
      </c>
      <c r="D96" s="21">
        <f>D86-10</f>
        <v>180</v>
      </c>
      <c r="E96" s="87">
        <f t="shared" ref="E96:E101" si="31">D96+F96</f>
        <v>180</v>
      </c>
      <c r="F96" s="42"/>
      <c r="G96" s="30">
        <f>G86</f>
        <v>50</v>
      </c>
      <c r="H96" s="62">
        <f>$G$6+(E96/2)+$AB$6+(Z96/2)+$L$2</f>
        <v>185</v>
      </c>
      <c r="I96" s="30">
        <f>1-(E97/1000)</f>
        <v>0.63</v>
      </c>
      <c r="J96" s="88">
        <f>ROUND(POWER(E96/100,0.5),3)</f>
        <v>1.342</v>
      </c>
      <c r="K96" s="62">
        <f>(G98*J96*I96*N92)</f>
        <v>5.91822</v>
      </c>
      <c r="L96" s="62">
        <f>1+(L94-1)*(1-E100/500)</f>
        <v>1.148</v>
      </c>
      <c r="M96" s="44">
        <f>M94+((1-M94)*0.5*E100/400)</f>
        <v>0.790625</v>
      </c>
      <c r="N96" s="62">
        <f>(E99+(Q96*N94))/1.3</f>
        <v>25.25</v>
      </c>
      <c r="O96" s="62">
        <f t="shared" ref="O96:P96" si="29">(D99+(P96*O94))/1.3</f>
        <v>29.23076923</v>
      </c>
      <c r="P96" s="62">
        <f t="shared" si="29"/>
        <v>33.21153846</v>
      </c>
      <c r="Q96" s="88">
        <f>3*(E98/100)</f>
        <v>3.45</v>
      </c>
      <c r="R96" s="62">
        <f>E98*1*(VLOOKUP(B96,SPIN!$M$27:$N$40,2,FALSE))</f>
        <v>9200</v>
      </c>
      <c r="S96" s="30">
        <f>E98*2*3.14/60</f>
        <v>12.03666667</v>
      </c>
      <c r="T96" s="45">
        <f t="shared" ref="T96:V96" si="30">$S96*T94*8</f>
        <v>9.629333333</v>
      </c>
      <c r="U96" s="45">
        <f t="shared" si="30"/>
        <v>128.0701333</v>
      </c>
      <c r="V96" s="46">
        <f t="shared" si="30"/>
        <v>-118.4408</v>
      </c>
    </row>
    <row r="97">
      <c r="A97" s="113"/>
      <c r="B97" s="89"/>
      <c r="C97" s="86" t="s">
        <v>54</v>
      </c>
      <c r="D97" s="21">
        <f>D87</f>
        <v>370</v>
      </c>
      <c r="E97" s="87">
        <f t="shared" si="31"/>
        <v>370</v>
      </c>
      <c r="F97" s="42"/>
      <c r="G97" s="30" t="s">
        <v>55</v>
      </c>
      <c r="H97" s="75"/>
      <c r="I97" s="23"/>
      <c r="J97" s="75"/>
      <c r="K97" s="75"/>
      <c r="L97" s="75"/>
      <c r="M97" s="75"/>
      <c r="N97" s="75"/>
      <c r="O97" s="75"/>
      <c r="P97" s="75"/>
      <c r="Q97" s="75"/>
      <c r="R97" s="75"/>
      <c r="S97" s="23"/>
      <c r="T97" s="27"/>
      <c r="U97" s="27"/>
      <c r="V97" s="31"/>
    </row>
    <row r="98">
      <c r="A98" s="113"/>
      <c r="B98" s="89"/>
      <c r="C98" s="86" t="s">
        <v>57</v>
      </c>
      <c r="D98" s="21">
        <f>D108</f>
        <v>115</v>
      </c>
      <c r="E98" s="87">
        <f t="shared" si="31"/>
        <v>115</v>
      </c>
      <c r="F98" s="42"/>
      <c r="G98" s="30">
        <f>G88</f>
        <v>7</v>
      </c>
      <c r="H98" s="75"/>
      <c r="I98" s="23"/>
      <c r="J98" s="75"/>
      <c r="K98" s="75"/>
      <c r="L98" s="75"/>
      <c r="M98" s="75"/>
      <c r="N98" s="75"/>
      <c r="O98" s="75"/>
      <c r="P98" s="75"/>
      <c r="Q98" s="75"/>
      <c r="R98" s="75"/>
      <c r="S98" s="23"/>
      <c r="T98" s="27"/>
      <c r="U98" s="27"/>
      <c r="V98" s="31"/>
    </row>
    <row r="99">
      <c r="A99" s="113"/>
      <c r="B99" s="89"/>
      <c r="C99" s="86" t="s">
        <v>59</v>
      </c>
      <c r="D99" s="48">
        <f>'DEFAULT CLUBS-COMMON'!D99</f>
        <v>38</v>
      </c>
      <c r="E99" s="87">
        <f t="shared" si="31"/>
        <v>38</v>
      </c>
      <c r="F99" s="49"/>
      <c r="G99" s="50"/>
      <c r="H99" s="75"/>
      <c r="I99" s="23"/>
      <c r="J99" s="75"/>
      <c r="K99" s="75"/>
      <c r="L99" s="75"/>
      <c r="M99" s="75"/>
      <c r="N99" s="75"/>
      <c r="O99" s="75"/>
      <c r="P99" s="75"/>
      <c r="Q99" s="75"/>
      <c r="R99" s="75"/>
      <c r="S99" s="23"/>
      <c r="T99" s="27"/>
      <c r="U99" s="27"/>
      <c r="V99" s="31"/>
    </row>
    <row r="100">
      <c r="A100" s="113"/>
      <c r="B100" s="89"/>
      <c r="C100" s="86" t="s">
        <v>61</v>
      </c>
      <c r="D100" s="59">
        <f>D110</f>
        <v>130</v>
      </c>
      <c r="E100" s="87">
        <f t="shared" si="31"/>
        <v>130</v>
      </c>
      <c r="F100" s="42"/>
      <c r="G100" s="50"/>
      <c r="H100" s="75"/>
      <c r="I100" s="23"/>
      <c r="J100" s="75"/>
      <c r="K100" s="75"/>
      <c r="L100" s="75"/>
      <c r="M100" s="75"/>
      <c r="N100" s="75"/>
      <c r="O100" s="75"/>
      <c r="P100" s="75"/>
      <c r="Q100" s="75"/>
      <c r="R100" s="75"/>
      <c r="S100" s="23"/>
      <c r="T100" s="27"/>
      <c r="U100" s="27"/>
      <c r="V100" s="31"/>
    </row>
    <row r="101">
      <c r="A101" s="113"/>
      <c r="B101" s="90"/>
      <c r="C101" s="91" t="s">
        <v>62</v>
      </c>
      <c r="D101" s="60">
        <f>D91</f>
        <v>300</v>
      </c>
      <c r="E101" s="92">
        <f t="shared" si="31"/>
        <v>300</v>
      </c>
      <c r="F101" s="61"/>
      <c r="G101" s="55"/>
      <c r="H101" s="93"/>
      <c r="I101" s="56"/>
      <c r="J101" s="93"/>
      <c r="K101" s="93"/>
      <c r="L101" s="93"/>
      <c r="M101" s="93"/>
      <c r="N101" s="93"/>
      <c r="O101" s="93"/>
      <c r="P101" s="93"/>
      <c r="Q101" s="93"/>
      <c r="R101" s="93"/>
      <c r="S101" s="56"/>
      <c r="T101" s="57"/>
      <c r="U101" s="57"/>
      <c r="V101" s="58"/>
    </row>
    <row r="102">
      <c r="A102" s="113"/>
      <c r="B102" s="64"/>
      <c r="C102" s="65"/>
      <c r="D102" s="66"/>
      <c r="E102" s="66"/>
      <c r="F102" s="12"/>
      <c r="G102" s="13"/>
      <c r="H102" s="68" t="s">
        <v>27</v>
      </c>
      <c r="I102" s="14"/>
      <c r="J102" s="68"/>
      <c r="K102" s="68" t="s">
        <v>28</v>
      </c>
      <c r="L102" s="69">
        <f>RANDBETWEEN(0,3)</f>
        <v>1</v>
      </c>
      <c r="M102" s="68" t="s">
        <v>29</v>
      </c>
      <c r="N102" s="70">
        <v>1.0</v>
      </c>
      <c r="O102" s="68"/>
      <c r="P102" s="68"/>
      <c r="Q102" s="68"/>
      <c r="R102" s="68"/>
      <c r="S102" s="16"/>
      <c r="T102" s="17"/>
      <c r="U102" s="17"/>
      <c r="V102" s="18"/>
    </row>
    <row r="103">
      <c r="A103" s="113"/>
      <c r="B103" s="71"/>
      <c r="C103" s="72"/>
      <c r="D103" s="73"/>
      <c r="E103" s="73"/>
      <c r="F103" s="21"/>
      <c r="G103" s="22"/>
      <c r="H103" s="75"/>
      <c r="I103" s="23"/>
      <c r="J103" s="75"/>
      <c r="K103" s="75"/>
      <c r="L103" s="76" t="s">
        <v>33</v>
      </c>
      <c r="M103" s="76" t="s">
        <v>33</v>
      </c>
      <c r="N103" s="75"/>
      <c r="O103" s="75"/>
      <c r="P103" s="75"/>
      <c r="Q103" s="75"/>
      <c r="R103" s="75"/>
      <c r="S103" s="25"/>
      <c r="T103" s="26"/>
      <c r="U103" s="27" t="s">
        <v>34</v>
      </c>
      <c r="V103" s="28"/>
    </row>
    <row r="104">
      <c r="A104" s="113"/>
      <c r="B104" s="71"/>
      <c r="C104" s="72"/>
      <c r="D104" s="73"/>
      <c r="E104" s="73"/>
      <c r="F104" s="29" t="s">
        <v>31</v>
      </c>
      <c r="G104" s="30"/>
      <c r="H104" s="75"/>
      <c r="I104" s="23"/>
      <c r="J104" s="75"/>
      <c r="K104" s="75"/>
      <c r="L104" s="78">
        <f>VLOOKUP(L103,RECOVERY!$AA$8:$AP$10,12,FALSE)</f>
        <v>1.2</v>
      </c>
      <c r="M104" s="78">
        <f>VLOOKUP(M103,RECOVERY!$AA$27:$AP$29,12,FALSE)</f>
        <v>0.75</v>
      </c>
      <c r="N104" s="78">
        <v>-1.5</v>
      </c>
      <c r="O104" s="78">
        <v>0.0</v>
      </c>
      <c r="P104" s="78">
        <v>1.5</v>
      </c>
      <c r="Q104" s="75"/>
      <c r="R104" s="78" t="s">
        <v>35</v>
      </c>
      <c r="S104" s="25"/>
      <c r="T104" s="27">
        <v>0.1</v>
      </c>
      <c r="U104" s="27">
        <v>1.33</v>
      </c>
      <c r="V104" s="31">
        <v>-1.23</v>
      </c>
    </row>
    <row r="105">
      <c r="A105" s="113"/>
      <c r="B105" s="79" t="s">
        <v>69</v>
      </c>
      <c r="C105" s="80"/>
      <c r="D105" s="81" t="s">
        <v>36</v>
      </c>
      <c r="E105" s="82" t="s">
        <v>37</v>
      </c>
      <c r="F105" s="29" t="str">
        <f>F95</f>
        <v>0/235</v>
      </c>
      <c r="G105" s="30" t="s">
        <v>38</v>
      </c>
      <c r="H105" s="83" t="s">
        <v>39</v>
      </c>
      <c r="I105" s="36" t="s">
        <v>40</v>
      </c>
      <c r="J105" s="83" t="s">
        <v>41</v>
      </c>
      <c r="K105" s="83" t="s">
        <v>42</v>
      </c>
      <c r="L105" s="83" t="s">
        <v>43</v>
      </c>
      <c r="M105" s="83" t="s">
        <v>44</v>
      </c>
      <c r="N105" s="83" t="s">
        <v>45</v>
      </c>
      <c r="O105" s="83" t="s">
        <v>46</v>
      </c>
      <c r="P105" s="83" t="s">
        <v>47</v>
      </c>
      <c r="Q105" s="84" t="s">
        <v>48</v>
      </c>
      <c r="R105" s="36" t="s">
        <v>49</v>
      </c>
      <c r="S105" s="30" t="s">
        <v>50</v>
      </c>
      <c r="T105" s="37" t="s">
        <v>51</v>
      </c>
      <c r="U105" s="37" t="s">
        <v>45</v>
      </c>
      <c r="V105" s="38" t="s">
        <v>47</v>
      </c>
    </row>
    <row r="106">
      <c r="A106" s="113"/>
      <c r="B106" s="85" t="s">
        <v>22</v>
      </c>
      <c r="C106" s="86" t="s">
        <v>52</v>
      </c>
      <c r="D106" s="21">
        <f>D96</f>
        <v>180</v>
      </c>
      <c r="E106" s="87">
        <f t="shared" ref="E106:E111" si="34">D106+F106</f>
        <v>180</v>
      </c>
      <c r="F106" s="42"/>
      <c r="G106" s="30">
        <f>G96</f>
        <v>50</v>
      </c>
      <c r="H106" s="62">
        <f>$G$6+(E106/2)+$AB$6+(Z106/2)+$L$2</f>
        <v>185</v>
      </c>
      <c r="I106" s="30">
        <f>1-(E107/1000)</f>
        <v>0.625</v>
      </c>
      <c r="J106" s="88">
        <f>ROUND(POWER(E106/100,0.5),3)</f>
        <v>1.342</v>
      </c>
      <c r="K106" s="62">
        <f>(G108*J106*I106*N102)</f>
        <v>5.87125</v>
      </c>
      <c r="L106" s="62">
        <f>1+(L104-1)*(1-E110/500)</f>
        <v>1.148</v>
      </c>
      <c r="M106" s="44">
        <f>M104+((1-M104)*0.5*E110/400)</f>
        <v>0.790625</v>
      </c>
      <c r="N106" s="62">
        <f>(E109+(Q106*N104))/1.3</f>
        <v>28.32692308</v>
      </c>
      <c r="O106" s="62">
        <f t="shared" ref="O106:P106" si="32">(D109+(P106*O104))/1.3</f>
        <v>32.30769231</v>
      </c>
      <c r="P106" s="62">
        <f t="shared" si="32"/>
        <v>36.28846154</v>
      </c>
      <c r="Q106" s="88">
        <f>3*(E108/100)</f>
        <v>3.45</v>
      </c>
      <c r="R106" s="62">
        <f>E108*1*(VLOOKUP(B106,SPIN!$M$27:$N$40,2,FALSE))</f>
        <v>9200</v>
      </c>
      <c r="S106" s="30">
        <f>E108*2*3.14/60</f>
        <v>12.03666667</v>
      </c>
      <c r="T106" s="45">
        <f t="shared" ref="T106:V106" si="33">$S106*T104*8</f>
        <v>9.629333333</v>
      </c>
      <c r="U106" s="45">
        <f t="shared" si="33"/>
        <v>128.0701333</v>
      </c>
      <c r="V106" s="46">
        <f t="shared" si="33"/>
        <v>-118.4408</v>
      </c>
    </row>
    <row r="107">
      <c r="A107" s="113"/>
      <c r="B107" s="89"/>
      <c r="C107" s="86" t="s">
        <v>54</v>
      </c>
      <c r="D107" s="21">
        <f>D97+5</f>
        <v>375</v>
      </c>
      <c r="E107" s="87">
        <f t="shared" si="34"/>
        <v>375</v>
      </c>
      <c r="F107" s="42"/>
      <c r="G107" s="30" t="s">
        <v>55</v>
      </c>
      <c r="H107" s="75"/>
      <c r="I107" s="23"/>
      <c r="J107" s="75"/>
      <c r="K107" s="75"/>
      <c r="L107" s="75"/>
      <c r="M107" s="75"/>
      <c r="N107" s="75"/>
      <c r="O107" s="75"/>
      <c r="P107" s="75"/>
      <c r="Q107" s="75"/>
      <c r="R107" s="75"/>
      <c r="S107" s="23"/>
      <c r="T107" s="27"/>
      <c r="U107" s="27"/>
      <c r="V107" s="31"/>
    </row>
    <row r="108">
      <c r="A108" s="113"/>
      <c r="B108" s="89"/>
      <c r="C108" s="86" t="s">
        <v>57</v>
      </c>
      <c r="D108" s="21">
        <f>D118-10</f>
        <v>115</v>
      </c>
      <c r="E108" s="87">
        <f t="shared" si="34"/>
        <v>115</v>
      </c>
      <c r="F108" s="42"/>
      <c r="G108" s="30">
        <f>G98</f>
        <v>7</v>
      </c>
      <c r="H108" s="75"/>
      <c r="I108" s="23"/>
      <c r="J108" s="75"/>
      <c r="K108" s="75"/>
      <c r="L108" s="75"/>
      <c r="M108" s="75"/>
      <c r="N108" s="75"/>
      <c r="O108" s="75"/>
      <c r="P108" s="75"/>
      <c r="Q108" s="75"/>
      <c r="R108" s="75"/>
      <c r="S108" s="23"/>
      <c r="T108" s="27"/>
      <c r="U108" s="27"/>
      <c r="V108" s="31"/>
    </row>
    <row r="109">
      <c r="A109" s="113"/>
      <c r="B109" s="89"/>
      <c r="C109" s="86" t="s">
        <v>59</v>
      </c>
      <c r="D109" s="48">
        <f>'DEFAULT CLUBS-COMMON'!D109</f>
        <v>42</v>
      </c>
      <c r="E109" s="87">
        <f t="shared" si="34"/>
        <v>42</v>
      </c>
      <c r="F109" s="49"/>
      <c r="G109" s="50"/>
      <c r="H109" s="75"/>
      <c r="I109" s="23"/>
      <c r="J109" s="75"/>
      <c r="K109" s="75"/>
      <c r="L109" s="75"/>
      <c r="M109" s="75"/>
      <c r="N109" s="75"/>
      <c r="O109" s="75"/>
      <c r="P109" s="75"/>
      <c r="Q109" s="75"/>
      <c r="R109" s="75"/>
      <c r="S109" s="23"/>
      <c r="T109" s="27"/>
      <c r="U109" s="27"/>
      <c r="V109" s="31"/>
    </row>
    <row r="110">
      <c r="A110" s="113"/>
      <c r="B110" s="89"/>
      <c r="C110" s="86" t="s">
        <v>61</v>
      </c>
      <c r="D110" s="59">
        <f>D120-20</f>
        <v>130</v>
      </c>
      <c r="E110" s="87">
        <f t="shared" si="34"/>
        <v>130</v>
      </c>
      <c r="F110" s="42"/>
      <c r="G110" s="50"/>
      <c r="H110" s="75"/>
      <c r="I110" s="23"/>
      <c r="J110" s="75"/>
      <c r="K110" s="75"/>
      <c r="L110" s="75"/>
      <c r="M110" s="75"/>
      <c r="N110" s="75"/>
      <c r="O110" s="75"/>
      <c r="P110" s="75"/>
      <c r="Q110" s="75"/>
      <c r="R110" s="75"/>
      <c r="S110" s="23"/>
      <c r="T110" s="27"/>
      <c r="U110" s="27"/>
      <c r="V110" s="31"/>
    </row>
    <row r="111">
      <c r="A111" s="113"/>
      <c r="B111" s="90"/>
      <c r="C111" s="91" t="s">
        <v>62</v>
      </c>
      <c r="D111" s="60">
        <f>D101</f>
        <v>300</v>
      </c>
      <c r="E111" s="92">
        <f t="shared" si="34"/>
        <v>300</v>
      </c>
      <c r="F111" s="61"/>
      <c r="G111" s="55"/>
      <c r="H111" s="93"/>
      <c r="I111" s="56"/>
      <c r="J111" s="93"/>
      <c r="K111" s="93"/>
      <c r="L111" s="93"/>
      <c r="M111" s="93"/>
      <c r="N111" s="93"/>
      <c r="O111" s="93"/>
      <c r="P111" s="93"/>
      <c r="Q111" s="93"/>
      <c r="R111" s="93"/>
      <c r="S111" s="56"/>
      <c r="T111" s="57"/>
      <c r="U111" s="57"/>
      <c r="V111" s="58"/>
    </row>
    <row r="112">
      <c r="A112" s="113"/>
      <c r="B112" s="64"/>
      <c r="C112" s="65"/>
      <c r="D112" s="66"/>
      <c r="E112" s="66"/>
      <c r="F112" s="12"/>
      <c r="G112" s="13"/>
      <c r="H112" s="68" t="s">
        <v>27</v>
      </c>
      <c r="I112" s="14"/>
      <c r="J112" s="68"/>
      <c r="K112" s="68" t="s">
        <v>28</v>
      </c>
      <c r="L112" s="69">
        <f>RANDBETWEEN(0,3)</f>
        <v>3</v>
      </c>
      <c r="M112" s="68" t="s">
        <v>29</v>
      </c>
      <c r="N112" s="70">
        <v>1.0</v>
      </c>
      <c r="O112" s="68"/>
      <c r="P112" s="68"/>
      <c r="Q112" s="68"/>
      <c r="R112" s="68"/>
      <c r="S112" s="16"/>
      <c r="T112" s="17"/>
      <c r="U112" s="17"/>
      <c r="V112" s="18"/>
    </row>
    <row r="113">
      <c r="A113" s="113"/>
      <c r="B113" s="71"/>
      <c r="C113" s="72"/>
      <c r="D113" s="73"/>
      <c r="E113" s="73"/>
      <c r="F113" s="21"/>
      <c r="G113" s="22"/>
      <c r="H113" s="75"/>
      <c r="I113" s="23"/>
      <c r="J113" s="75"/>
      <c r="K113" s="75"/>
      <c r="L113" s="76" t="s">
        <v>33</v>
      </c>
      <c r="M113" s="76" t="s">
        <v>33</v>
      </c>
      <c r="N113" s="75"/>
      <c r="O113" s="75"/>
      <c r="P113" s="75"/>
      <c r="Q113" s="75"/>
      <c r="R113" s="75"/>
      <c r="S113" s="25"/>
      <c r="T113" s="26"/>
      <c r="U113" s="27" t="s">
        <v>34</v>
      </c>
      <c r="V113" s="28"/>
    </row>
    <row r="114">
      <c r="A114" s="113"/>
      <c r="B114" s="71"/>
      <c r="C114" s="72"/>
      <c r="D114" s="73"/>
      <c r="E114" s="73"/>
      <c r="F114" s="29" t="s">
        <v>31</v>
      </c>
      <c r="G114" s="30"/>
      <c r="H114" s="75"/>
      <c r="I114" s="23"/>
      <c r="J114" s="75"/>
      <c r="K114" s="75"/>
      <c r="L114" s="78">
        <f>VLOOKUP(L113,RECOVERY!$AA$8:$AP$10,13,FALSE)</f>
        <v>1.15</v>
      </c>
      <c r="M114" s="78">
        <f>VLOOKUP(M113,RECOVERY!$AA$27:$AP$29,13,FALSE)</f>
        <v>0.85</v>
      </c>
      <c r="N114" s="78">
        <v>-1.5</v>
      </c>
      <c r="O114" s="78">
        <v>0.0</v>
      </c>
      <c r="P114" s="78">
        <v>1.5</v>
      </c>
      <c r="Q114" s="75"/>
      <c r="R114" s="78" t="s">
        <v>35</v>
      </c>
      <c r="S114" s="25"/>
      <c r="T114" s="27">
        <v>0.1</v>
      </c>
      <c r="U114" s="27">
        <v>1.33</v>
      </c>
      <c r="V114" s="31">
        <v>-1.23</v>
      </c>
    </row>
    <row r="115">
      <c r="A115" s="113"/>
      <c r="B115" s="79" t="s">
        <v>69</v>
      </c>
      <c r="C115" s="80"/>
      <c r="D115" s="81" t="s">
        <v>36</v>
      </c>
      <c r="E115" s="82" t="s">
        <v>37</v>
      </c>
      <c r="F115" s="29" t="str">
        <f>F105</f>
        <v>0/235</v>
      </c>
      <c r="G115" s="30" t="s">
        <v>38</v>
      </c>
      <c r="H115" s="83" t="s">
        <v>39</v>
      </c>
      <c r="I115" s="36" t="s">
        <v>40</v>
      </c>
      <c r="J115" s="83" t="s">
        <v>41</v>
      </c>
      <c r="K115" s="83" t="s">
        <v>42</v>
      </c>
      <c r="L115" s="83" t="s">
        <v>43</v>
      </c>
      <c r="M115" s="83" t="s">
        <v>44</v>
      </c>
      <c r="N115" s="83" t="s">
        <v>45</v>
      </c>
      <c r="O115" s="83" t="s">
        <v>46</v>
      </c>
      <c r="P115" s="83" t="s">
        <v>47</v>
      </c>
      <c r="Q115" s="84" t="s">
        <v>48</v>
      </c>
      <c r="R115" s="36" t="s">
        <v>49</v>
      </c>
      <c r="S115" s="30" t="s">
        <v>50</v>
      </c>
      <c r="T115" s="37" t="s">
        <v>51</v>
      </c>
      <c r="U115" s="37" t="s">
        <v>45</v>
      </c>
      <c r="V115" s="38" t="s">
        <v>47</v>
      </c>
    </row>
    <row r="116">
      <c r="A116" s="113"/>
      <c r="B116" s="85" t="s">
        <v>64</v>
      </c>
      <c r="C116" s="86" t="s">
        <v>52</v>
      </c>
      <c r="D116" s="21">
        <f t="shared" ref="D116:D117" si="37">D106</f>
        <v>180</v>
      </c>
      <c r="E116" s="87">
        <f t="shared" ref="E116:E121" si="38">D116+F116</f>
        <v>180</v>
      </c>
      <c r="F116" s="42"/>
      <c r="G116" s="30">
        <f>G106</f>
        <v>50</v>
      </c>
      <c r="H116" s="62">
        <f>$G$6+(E116/2)+$AB$6+(Z116/2)+$L$2</f>
        <v>185</v>
      </c>
      <c r="I116" s="30">
        <f>1-(E117/1000)</f>
        <v>0.625</v>
      </c>
      <c r="J116" s="88">
        <f>ROUND(POWER(E116/100,0.5),3)</f>
        <v>1.342</v>
      </c>
      <c r="K116" s="62">
        <f>(G118*J116*I116*N112)</f>
        <v>5.87125</v>
      </c>
      <c r="L116" s="62">
        <f>1+(L114-1)*(1-E120/500)</f>
        <v>1.105</v>
      </c>
      <c r="M116" s="44">
        <f>M114+((1-M114)*0.5*E120/400)</f>
        <v>0.878125</v>
      </c>
      <c r="N116" s="62">
        <f>(E119+(Q116*N114))/1.3</f>
        <v>30.28846154</v>
      </c>
      <c r="O116" s="62">
        <f t="shared" ref="O116:P116" si="35">(D119+(P116*O114))/1.3</f>
        <v>34.61538462</v>
      </c>
      <c r="P116" s="62">
        <f t="shared" si="35"/>
        <v>38.94230769</v>
      </c>
      <c r="Q116" s="88">
        <f>3*(E118/100)</f>
        <v>3.75</v>
      </c>
      <c r="R116" s="62">
        <f>E118*1*(VLOOKUP(B116,SPIN!$M$27:$N$40,2,FALSE))</f>
        <v>11250</v>
      </c>
      <c r="S116" s="30">
        <f>E118*2*3.14/60</f>
        <v>13.08333333</v>
      </c>
      <c r="T116" s="45">
        <f t="shared" ref="T116:V116" si="36">$S116*T114*8</f>
        <v>10.46666667</v>
      </c>
      <c r="U116" s="45">
        <f t="shared" si="36"/>
        <v>139.2066667</v>
      </c>
      <c r="V116" s="46">
        <f t="shared" si="36"/>
        <v>-128.74</v>
      </c>
    </row>
    <row r="117">
      <c r="A117" s="113"/>
      <c r="B117" s="89"/>
      <c r="C117" s="86" t="s">
        <v>54</v>
      </c>
      <c r="D117" s="21">
        <f t="shared" si="37"/>
        <v>375</v>
      </c>
      <c r="E117" s="87">
        <f t="shared" si="38"/>
        <v>375</v>
      </c>
      <c r="F117" s="42"/>
      <c r="G117" s="30" t="s">
        <v>55</v>
      </c>
      <c r="H117" s="75"/>
      <c r="I117" s="23"/>
      <c r="J117" s="75"/>
      <c r="K117" s="75"/>
      <c r="L117" s="75"/>
      <c r="M117" s="75"/>
      <c r="N117" s="75"/>
      <c r="O117" s="75"/>
      <c r="P117" s="75"/>
      <c r="Q117" s="75"/>
      <c r="R117" s="75"/>
      <c r="S117" s="23"/>
      <c r="T117" s="27"/>
      <c r="U117" s="27"/>
      <c r="V117" s="31"/>
    </row>
    <row r="118">
      <c r="A118" s="113"/>
      <c r="B118" s="89"/>
      <c r="C118" s="86" t="s">
        <v>57</v>
      </c>
      <c r="D118" s="21">
        <f>D128-5</f>
        <v>125</v>
      </c>
      <c r="E118" s="87">
        <f t="shared" si="38"/>
        <v>125</v>
      </c>
      <c r="F118" s="42"/>
      <c r="G118" s="30">
        <f>G108</f>
        <v>7</v>
      </c>
      <c r="H118" s="75"/>
      <c r="I118" s="23"/>
      <c r="J118" s="75"/>
      <c r="K118" s="75"/>
      <c r="L118" s="75"/>
      <c r="M118" s="75"/>
      <c r="N118" s="75"/>
      <c r="O118" s="75"/>
      <c r="P118" s="75"/>
      <c r="Q118" s="75"/>
      <c r="R118" s="75"/>
      <c r="S118" s="23"/>
      <c r="T118" s="27"/>
      <c r="U118" s="27"/>
      <c r="V118" s="31"/>
    </row>
    <row r="119">
      <c r="A119" s="113"/>
      <c r="B119" s="89"/>
      <c r="C119" s="86" t="s">
        <v>59</v>
      </c>
      <c r="D119" s="48">
        <f>'DEFAULT CLUBS-COMMON'!D119</f>
        <v>45</v>
      </c>
      <c r="E119" s="87">
        <f t="shared" si="38"/>
        <v>45</v>
      </c>
      <c r="F119" s="49"/>
      <c r="G119" s="50"/>
      <c r="H119" s="75"/>
      <c r="I119" s="23"/>
      <c r="J119" s="75"/>
      <c r="K119" s="75"/>
      <c r="L119" s="75"/>
      <c r="M119" s="75"/>
      <c r="N119" s="75"/>
      <c r="O119" s="75"/>
      <c r="P119" s="75"/>
      <c r="Q119" s="75"/>
      <c r="R119" s="75"/>
      <c r="S119" s="23"/>
      <c r="T119" s="27"/>
      <c r="U119" s="27"/>
      <c r="V119" s="31"/>
    </row>
    <row r="120">
      <c r="A120" s="113"/>
      <c r="B120" s="89"/>
      <c r="C120" s="86" t="s">
        <v>61</v>
      </c>
      <c r="D120" s="59">
        <f>D130</f>
        <v>150</v>
      </c>
      <c r="E120" s="87">
        <f t="shared" si="38"/>
        <v>150</v>
      </c>
      <c r="F120" s="42"/>
      <c r="G120" s="50"/>
      <c r="H120" s="75"/>
      <c r="I120" s="23"/>
      <c r="J120" s="75"/>
      <c r="K120" s="75"/>
      <c r="L120" s="75"/>
      <c r="M120" s="75"/>
      <c r="N120" s="75"/>
      <c r="O120" s="75"/>
      <c r="P120" s="75"/>
      <c r="Q120" s="75"/>
      <c r="R120" s="75"/>
      <c r="S120" s="23"/>
      <c r="T120" s="27"/>
      <c r="U120" s="27"/>
      <c r="V120" s="31"/>
    </row>
    <row r="121">
      <c r="A121" s="113"/>
      <c r="B121" s="90"/>
      <c r="C121" s="91" t="s">
        <v>62</v>
      </c>
      <c r="D121" s="60">
        <f>D111</f>
        <v>300</v>
      </c>
      <c r="E121" s="92">
        <f t="shared" si="38"/>
        <v>300</v>
      </c>
      <c r="F121" s="61"/>
      <c r="G121" s="55"/>
      <c r="H121" s="93"/>
      <c r="I121" s="56"/>
      <c r="J121" s="93"/>
      <c r="K121" s="93"/>
      <c r="L121" s="93"/>
      <c r="M121" s="93"/>
      <c r="N121" s="93"/>
      <c r="O121" s="93"/>
      <c r="P121" s="93"/>
      <c r="Q121" s="93"/>
      <c r="R121" s="93"/>
      <c r="S121" s="56"/>
      <c r="T121" s="57"/>
      <c r="U121" s="57"/>
      <c r="V121" s="58"/>
    </row>
    <row r="122">
      <c r="A122" s="113"/>
      <c r="B122" s="64"/>
      <c r="C122" s="65"/>
      <c r="D122" s="66"/>
      <c r="E122" s="66"/>
      <c r="F122" s="12"/>
      <c r="G122" s="13"/>
      <c r="H122" s="68" t="s">
        <v>27</v>
      </c>
      <c r="I122" s="14"/>
      <c r="J122" s="68"/>
      <c r="K122" s="68" t="s">
        <v>28</v>
      </c>
      <c r="L122" s="69">
        <f>RANDBETWEEN(0,3)</f>
        <v>3</v>
      </c>
      <c r="M122" s="68" t="s">
        <v>29</v>
      </c>
      <c r="N122" s="70">
        <v>1.0</v>
      </c>
      <c r="O122" s="68"/>
      <c r="P122" s="68"/>
      <c r="Q122" s="68"/>
      <c r="R122" s="68"/>
      <c r="S122" s="16"/>
      <c r="T122" s="17"/>
      <c r="U122" s="17"/>
      <c r="V122" s="18"/>
    </row>
    <row r="123">
      <c r="A123" s="113"/>
      <c r="B123" s="71"/>
      <c r="C123" s="72"/>
      <c r="D123" s="73"/>
      <c r="E123" s="73"/>
      <c r="F123" s="21"/>
      <c r="G123" s="22"/>
      <c r="H123" s="75"/>
      <c r="I123" s="23"/>
      <c r="J123" s="75"/>
      <c r="K123" s="75"/>
      <c r="L123" s="76" t="s">
        <v>33</v>
      </c>
      <c r="M123" s="76" t="s">
        <v>33</v>
      </c>
      <c r="N123" s="75"/>
      <c r="O123" s="75"/>
      <c r="P123" s="75"/>
      <c r="Q123" s="75"/>
      <c r="R123" s="75"/>
      <c r="S123" s="25"/>
      <c r="T123" s="26"/>
      <c r="U123" s="27" t="s">
        <v>34</v>
      </c>
      <c r="V123" s="28"/>
    </row>
    <row r="124">
      <c r="A124" s="113"/>
      <c r="B124" s="71"/>
      <c r="C124" s="72"/>
      <c r="D124" s="73"/>
      <c r="E124" s="73"/>
      <c r="F124" s="29" t="s">
        <v>31</v>
      </c>
      <c r="G124" s="30"/>
      <c r="H124" s="75"/>
      <c r="I124" s="23"/>
      <c r="J124" s="75"/>
      <c r="K124" s="75"/>
      <c r="L124" s="78">
        <f>VLOOKUP(L123,RECOVERY!$AA$8:$AP$10,14,FALSE)</f>
        <v>1.15</v>
      </c>
      <c r="M124" s="78">
        <f>VLOOKUP(M123,RECOVERY!$AA$27:$AP$29,14,FALSE)</f>
        <v>0.85</v>
      </c>
      <c r="N124" s="78">
        <v>-1.5</v>
      </c>
      <c r="O124" s="78">
        <v>0.0</v>
      </c>
      <c r="P124" s="78">
        <v>1.5</v>
      </c>
      <c r="Q124" s="75"/>
      <c r="R124" s="78" t="s">
        <v>35</v>
      </c>
      <c r="S124" s="25"/>
      <c r="T124" s="27">
        <v>0.1</v>
      </c>
      <c r="U124" s="27">
        <v>1.33</v>
      </c>
      <c r="V124" s="31">
        <v>-1.23</v>
      </c>
    </row>
    <row r="125">
      <c r="A125" s="113"/>
      <c r="B125" s="79" t="s">
        <v>69</v>
      </c>
      <c r="C125" s="80"/>
      <c r="D125" s="81" t="s">
        <v>36</v>
      </c>
      <c r="E125" s="82" t="s">
        <v>37</v>
      </c>
      <c r="F125" s="29" t="str">
        <f>F115</f>
        <v>0/235</v>
      </c>
      <c r="G125" s="30" t="s">
        <v>38</v>
      </c>
      <c r="H125" s="83" t="s">
        <v>39</v>
      </c>
      <c r="I125" s="36" t="s">
        <v>40</v>
      </c>
      <c r="J125" s="83" t="s">
        <v>41</v>
      </c>
      <c r="K125" s="83" t="s">
        <v>42</v>
      </c>
      <c r="L125" s="83" t="s">
        <v>43</v>
      </c>
      <c r="M125" s="83" t="s">
        <v>44</v>
      </c>
      <c r="N125" s="83" t="s">
        <v>45</v>
      </c>
      <c r="O125" s="83" t="s">
        <v>46</v>
      </c>
      <c r="P125" s="83" t="s">
        <v>47</v>
      </c>
      <c r="Q125" s="84" t="s">
        <v>48</v>
      </c>
      <c r="R125" s="36" t="s">
        <v>49</v>
      </c>
      <c r="S125" s="30" t="s">
        <v>50</v>
      </c>
      <c r="T125" s="37" t="s">
        <v>51</v>
      </c>
      <c r="U125" s="37" t="s">
        <v>45</v>
      </c>
      <c r="V125" s="38" t="s">
        <v>47</v>
      </c>
    </row>
    <row r="126">
      <c r="A126" s="113"/>
      <c r="B126" s="85" t="s">
        <v>65</v>
      </c>
      <c r="C126" s="86" t="s">
        <v>52</v>
      </c>
      <c r="D126" s="21">
        <f>D116</f>
        <v>180</v>
      </c>
      <c r="E126" s="87">
        <f t="shared" ref="E126:E131" si="41">D126+F126</f>
        <v>180</v>
      </c>
      <c r="F126" s="42"/>
      <c r="G126" s="30">
        <f>G116</f>
        <v>50</v>
      </c>
      <c r="H126" s="62">
        <f>$G$6+(E126/2)+$AB$6+(Z126/2)+$L$2</f>
        <v>185</v>
      </c>
      <c r="I126" s="30">
        <f>1-(E127/1000)</f>
        <v>0.62</v>
      </c>
      <c r="J126" s="88">
        <f>ROUND(POWER(E126/100,0.5),3)</f>
        <v>1.342</v>
      </c>
      <c r="K126" s="62">
        <f>(G128*J126*I126*N122)</f>
        <v>5.82428</v>
      </c>
      <c r="L126" s="62">
        <f>1+(L124-1)*(1-E130/500)</f>
        <v>1.105</v>
      </c>
      <c r="M126" s="44">
        <f>M124+((1-M124)*0.5*E130/400)</f>
        <v>0.878125</v>
      </c>
      <c r="N126" s="62">
        <f>(E129+(Q126*N124))/1.3</f>
        <v>30.11538462</v>
      </c>
      <c r="O126" s="62">
        <f t="shared" ref="O126:P126" si="39">(D129+(P126*O124))/1.3</f>
        <v>34.61538462</v>
      </c>
      <c r="P126" s="62">
        <f t="shared" si="39"/>
        <v>39.11538462</v>
      </c>
      <c r="Q126" s="88">
        <f>3*(E128/100)</f>
        <v>3.9</v>
      </c>
      <c r="R126" s="62">
        <f>E128*1*(VLOOKUP(B126,SPIN!$M$27:$N$40,2,FALSE))</f>
        <v>11700</v>
      </c>
      <c r="S126" s="30">
        <f>E128*2*3.14/60</f>
        <v>13.60666667</v>
      </c>
      <c r="T126" s="45">
        <f t="shared" ref="T126:V126" si="40">$S126*T124*8</f>
        <v>10.88533333</v>
      </c>
      <c r="U126" s="45">
        <f t="shared" si="40"/>
        <v>144.7749333</v>
      </c>
      <c r="V126" s="46">
        <f t="shared" si="40"/>
        <v>-133.8896</v>
      </c>
    </row>
    <row r="127">
      <c r="A127" s="113"/>
      <c r="B127" s="89"/>
      <c r="C127" s="86" t="s">
        <v>54</v>
      </c>
      <c r="D127" s="21">
        <f>D117+5</f>
        <v>380</v>
      </c>
      <c r="E127" s="87">
        <f t="shared" si="41"/>
        <v>380</v>
      </c>
      <c r="F127" s="42"/>
      <c r="G127" s="30" t="s">
        <v>55</v>
      </c>
      <c r="H127" s="75"/>
      <c r="I127" s="23"/>
      <c r="J127" s="75"/>
      <c r="K127" s="75"/>
      <c r="L127" s="75"/>
      <c r="M127" s="75"/>
      <c r="N127" s="75"/>
      <c r="O127" s="75"/>
      <c r="P127" s="75"/>
      <c r="Q127" s="75"/>
      <c r="R127" s="75"/>
      <c r="S127" s="23"/>
      <c r="T127" s="27"/>
      <c r="U127" s="27"/>
      <c r="V127" s="31"/>
    </row>
    <row r="128">
      <c r="A128" s="113"/>
      <c r="B128" s="89"/>
      <c r="C128" s="86" t="s">
        <v>57</v>
      </c>
      <c r="D128" s="21">
        <f>D138-5</f>
        <v>130</v>
      </c>
      <c r="E128" s="87">
        <f t="shared" si="41"/>
        <v>130</v>
      </c>
      <c r="F128" s="42"/>
      <c r="G128" s="30">
        <f>G118</f>
        <v>7</v>
      </c>
      <c r="H128" s="75"/>
      <c r="I128" s="23"/>
      <c r="J128" s="75"/>
      <c r="K128" s="75"/>
      <c r="L128" s="75"/>
      <c r="M128" s="75"/>
      <c r="N128" s="75"/>
      <c r="O128" s="75"/>
      <c r="P128" s="75"/>
      <c r="Q128" s="75"/>
      <c r="R128" s="75"/>
      <c r="S128" s="23"/>
      <c r="T128" s="27"/>
      <c r="U128" s="27"/>
      <c r="V128" s="31"/>
    </row>
    <row r="129">
      <c r="A129" s="113"/>
      <c r="B129" s="89"/>
      <c r="C129" s="86" t="s">
        <v>59</v>
      </c>
      <c r="D129" s="48">
        <f>'DEFAULT CLUBS-COMMON'!D129</f>
        <v>45</v>
      </c>
      <c r="E129" s="87">
        <f t="shared" si="41"/>
        <v>45</v>
      </c>
      <c r="F129" s="49"/>
      <c r="G129" s="50"/>
      <c r="H129" s="75"/>
      <c r="I129" s="23"/>
      <c r="J129" s="75"/>
      <c r="K129" s="75"/>
      <c r="L129" s="75"/>
      <c r="M129" s="75"/>
      <c r="N129" s="75"/>
      <c r="O129" s="75"/>
      <c r="P129" s="75"/>
      <c r="Q129" s="75"/>
      <c r="R129" s="75"/>
      <c r="S129" s="23"/>
      <c r="T129" s="27"/>
      <c r="U129" s="27"/>
      <c r="V129" s="31"/>
    </row>
    <row r="130">
      <c r="A130" s="113"/>
      <c r="B130" s="89"/>
      <c r="C130" s="86" t="s">
        <v>61</v>
      </c>
      <c r="D130" s="59">
        <f>D140</f>
        <v>150</v>
      </c>
      <c r="E130" s="87">
        <f t="shared" si="41"/>
        <v>150</v>
      </c>
      <c r="F130" s="42"/>
      <c r="G130" s="50"/>
      <c r="H130" s="75"/>
      <c r="I130" s="23"/>
      <c r="J130" s="75"/>
      <c r="K130" s="75"/>
      <c r="L130" s="75"/>
      <c r="M130" s="75"/>
      <c r="N130" s="75"/>
      <c r="O130" s="75"/>
      <c r="P130" s="75"/>
      <c r="Q130" s="75"/>
      <c r="R130" s="75"/>
      <c r="S130" s="23"/>
      <c r="T130" s="27"/>
      <c r="U130" s="27"/>
      <c r="V130" s="31"/>
    </row>
    <row r="131">
      <c r="A131" s="113"/>
      <c r="B131" s="90"/>
      <c r="C131" s="91" t="s">
        <v>62</v>
      </c>
      <c r="D131" s="60">
        <f>D121</f>
        <v>300</v>
      </c>
      <c r="E131" s="92">
        <f t="shared" si="41"/>
        <v>300</v>
      </c>
      <c r="F131" s="61"/>
      <c r="G131" s="55"/>
      <c r="H131" s="93"/>
      <c r="I131" s="56"/>
      <c r="J131" s="93"/>
      <c r="K131" s="93"/>
      <c r="L131" s="93"/>
      <c r="M131" s="93"/>
      <c r="N131" s="93"/>
      <c r="O131" s="93"/>
      <c r="P131" s="93"/>
      <c r="Q131" s="93"/>
      <c r="R131" s="93"/>
      <c r="S131" s="56"/>
      <c r="T131" s="57"/>
      <c r="U131" s="57"/>
      <c r="V131" s="58"/>
    </row>
    <row r="132">
      <c r="A132" s="113"/>
      <c r="B132" s="64"/>
      <c r="C132" s="65"/>
      <c r="D132" s="66"/>
      <c r="E132" s="66"/>
      <c r="F132" s="12"/>
      <c r="G132" s="13"/>
      <c r="H132" s="68" t="s">
        <v>27</v>
      </c>
      <c r="I132" s="14"/>
      <c r="J132" s="68"/>
      <c r="K132" s="68" t="s">
        <v>28</v>
      </c>
      <c r="L132" s="69">
        <f>RANDBETWEEN(0,3)</f>
        <v>0</v>
      </c>
      <c r="M132" s="68" t="s">
        <v>29</v>
      </c>
      <c r="N132" s="105">
        <v>1.0</v>
      </c>
      <c r="O132" s="68"/>
      <c r="P132" s="68"/>
      <c r="Q132" s="68"/>
      <c r="R132" s="68"/>
      <c r="S132" s="16"/>
      <c r="T132" s="17"/>
      <c r="U132" s="17"/>
      <c r="V132" s="18"/>
    </row>
    <row r="133">
      <c r="A133" s="113"/>
      <c r="B133" s="71"/>
      <c r="C133" s="72"/>
      <c r="D133" s="73"/>
      <c r="E133" s="73"/>
      <c r="F133" s="21"/>
      <c r="G133" s="22"/>
      <c r="H133" s="75"/>
      <c r="I133" s="23"/>
      <c r="J133" s="75"/>
      <c r="K133" s="75"/>
      <c r="L133" s="76" t="s">
        <v>33</v>
      </c>
      <c r="M133" s="76" t="s">
        <v>33</v>
      </c>
      <c r="N133" s="75"/>
      <c r="O133" s="75"/>
      <c r="P133" s="75"/>
      <c r="Q133" s="75"/>
      <c r="R133" s="75"/>
      <c r="S133" s="25"/>
      <c r="T133" s="26"/>
      <c r="U133" s="27" t="s">
        <v>34</v>
      </c>
      <c r="V133" s="28"/>
    </row>
    <row r="134">
      <c r="A134" s="113"/>
      <c r="B134" s="71"/>
      <c r="C134" s="72"/>
      <c r="D134" s="73"/>
      <c r="E134" s="73"/>
      <c r="F134" s="29" t="s">
        <v>31</v>
      </c>
      <c r="G134" s="30"/>
      <c r="H134" s="75"/>
      <c r="I134" s="23"/>
      <c r="J134" s="75"/>
      <c r="K134" s="75"/>
      <c r="L134" s="78">
        <f>VLOOKUP(L133,RECOVERY!$AA$8:$AP$10,15,FALSE)</f>
        <v>1.15</v>
      </c>
      <c r="M134" s="78">
        <f>VLOOKUP(M133,RECOVERY!$AA$27:$AP$29,15,FALSE)</f>
        <v>0.85</v>
      </c>
      <c r="N134" s="78">
        <v>-1.5</v>
      </c>
      <c r="O134" s="78">
        <v>0.0</v>
      </c>
      <c r="P134" s="78">
        <v>1.5</v>
      </c>
      <c r="Q134" s="75"/>
      <c r="R134" s="78" t="s">
        <v>35</v>
      </c>
      <c r="S134" s="25"/>
      <c r="T134" s="27">
        <v>0.1</v>
      </c>
      <c r="U134" s="27">
        <v>1.33</v>
      </c>
      <c r="V134" s="31">
        <v>-1.23</v>
      </c>
    </row>
    <row r="135">
      <c r="A135" s="113"/>
      <c r="B135" s="79" t="s">
        <v>69</v>
      </c>
      <c r="C135" s="80"/>
      <c r="D135" s="81" t="s">
        <v>36</v>
      </c>
      <c r="E135" s="82" t="s">
        <v>37</v>
      </c>
      <c r="F135" s="29" t="str">
        <f>F125</f>
        <v>0/235</v>
      </c>
      <c r="G135" s="30" t="s">
        <v>38</v>
      </c>
      <c r="H135" s="83" t="s">
        <v>39</v>
      </c>
      <c r="I135" s="36" t="s">
        <v>40</v>
      </c>
      <c r="J135" s="83" t="s">
        <v>41</v>
      </c>
      <c r="K135" s="83" t="s">
        <v>42</v>
      </c>
      <c r="L135" s="83" t="s">
        <v>43</v>
      </c>
      <c r="M135" s="83" t="s">
        <v>44</v>
      </c>
      <c r="N135" s="83" t="s">
        <v>45</v>
      </c>
      <c r="O135" s="83" t="s">
        <v>46</v>
      </c>
      <c r="P135" s="83" t="s">
        <v>47</v>
      </c>
      <c r="Q135" s="84" t="s">
        <v>48</v>
      </c>
      <c r="R135" s="36" t="s">
        <v>49</v>
      </c>
      <c r="S135" s="30" t="s">
        <v>50</v>
      </c>
      <c r="T135" s="37" t="s">
        <v>51</v>
      </c>
      <c r="U135" s="37" t="s">
        <v>45</v>
      </c>
      <c r="V135" s="38" t="s">
        <v>47</v>
      </c>
    </row>
    <row r="136">
      <c r="A136" s="113"/>
      <c r="B136" s="85" t="s">
        <v>66</v>
      </c>
      <c r="C136" s="86" t="s">
        <v>52</v>
      </c>
      <c r="D136" s="21">
        <f t="shared" ref="D136:D137" si="44">D126</f>
        <v>180</v>
      </c>
      <c r="E136" s="87">
        <f t="shared" ref="E136:E141" si="45">D136+F136</f>
        <v>180</v>
      </c>
      <c r="F136" s="42"/>
      <c r="G136" s="30">
        <f>G126</f>
        <v>50</v>
      </c>
      <c r="H136" s="62">
        <f>$G$6+(E136/2)+$AB$6+(Z136/2)+$L$2</f>
        <v>185</v>
      </c>
      <c r="I136" s="30">
        <f>1-(E137/1000)</f>
        <v>0.62</v>
      </c>
      <c r="J136" s="88">
        <f>ROUND(POWER(E136/100,0.5),3)</f>
        <v>1.342</v>
      </c>
      <c r="K136" s="62">
        <f>(G138*J136*I136*N132)</f>
        <v>5.82428</v>
      </c>
      <c r="L136" s="62">
        <f>1+(L134-1)*(1-E140/500)</f>
        <v>1.105</v>
      </c>
      <c r="M136" s="44">
        <f>M134+((1-M134)*0.5*E140/400)</f>
        <v>0.878125</v>
      </c>
      <c r="N136" s="62">
        <f>(E139+(Q136*N134))/1.3</f>
        <v>36.86538462</v>
      </c>
      <c r="O136" s="62">
        <f t="shared" ref="O136:P136" si="42">(D139+(P136*O134))/1.3</f>
        <v>41.53846154</v>
      </c>
      <c r="P136" s="62">
        <f t="shared" si="42"/>
        <v>46.21153846</v>
      </c>
      <c r="Q136" s="88">
        <f>3*(E138/100)</f>
        <v>4.05</v>
      </c>
      <c r="R136" s="62">
        <f>E138*1*(VLOOKUP(B136,SPIN!$M$27:$N$40,2,FALSE))</f>
        <v>12150</v>
      </c>
      <c r="S136" s="30">
        <f>E138*2*3.14/60</f>
        <v>14.13</v>
      </c>
      <c r="T136" s="45">
        <f t="shared" ref="T136:V136" si="43">$S136*T134*8</f>
        <v>11.304</v>
      </c>
      <c r="U136" s="45">
        <f t="shared" si="43"/>
        <v>150.3432</v>
      </c>
      <c r="V136" s="46">
        <f t="shared" si="43"/>
        <v>-139.0392</v>
      </c>
    </row>
    <row r="137">
      <c r="A137" s="113"/>
      <c r="B137" s="89"/>
      <c r="C137" s="86" t="s">
        <v>54</v>
      </c>
      <c r="D137" s="21">
        <f t="shared" si="44"/>
        <v>380</v>
      </c>
      <c r="E137" s="87">
        <f t="shared" si="45"/>
        <v>380</v>
      </c>
      <c r="F137" s="42"/>
      <c r="G137" s="30" t="s">
        <v>55</v>
      </c>
      <c r="H137" s="75"/>
      <c r="I137" s="23"/>
      <c r="J137" s="75"/>
      <c r="K137" s="75"/>
      <c r="L137" s="75"/>
      <c r="M137" s="75"/>
      <c r="N137" s="75"/>
      <c r="O137" s="75"/>
      <c r="P137" s="75"/>
      <c r="Q137" s="75"/>
      <c r="R137" s="75"/>
      <c r="S137" s="23"/>
      <c r="T137" s="27"/>
      <c r="U137" s="27"/>
      <c r="V137" s="31"/>
    </row>
    <row r="138">
      <c r="A138" s="113"/>
      <c r="B138" s="89"/>
      <c r="C138" s="86" t="s">
        <v>57</v>
      </c>
      <c r="D138" s="21">
        <v>135.0</v>
      </c>
      <c r="E138" s="87">
        <f t="shared" si="45"/>
        <v>135</v>
      </c>
      <c r="F138" s="42"/>
      <c r="G138" s="30">
        <f>G128</f>
        <v>7</v>
      </c>
      <c r="H138" s="75"/>
      <c r="I138" s="23"/>
      <c r="J138" s="75"/>
      <c r="K138" s="75"/>
      <c r="L138" s="75"/>
      <c r="M138" s="75"/>
      <c r="N138" s="75"/>
      <c r="O138" s="75"/>
      <c r="P138" s="75"/>
      <c r="Q138" s="75"/>
      <c r="R138" s="75"/>
      <c r="S138" s="23"/>
      <c r="T138" s="27"/>
      <c r="U138" s="27"/>
      <c r="V138" s="31"/>
    </row>
    <row r="139">
      <c r="A139" s="113"/>
      <c r="B139" s="89"/>
      <c r="C139" s="86" t="s">
        <v>59</v>
      </c>
      <c r="D139" s="48">
        <f>'DEFAULT CLUBS-COMMON'!D139</f>
        <v>54</v>
      </c>
      <c r="E139" s="87">
        <f t="shared" si="45"/>
        <v>54</v>
      </c>
      <c r="F139" s="49"/>
      <c r="G139" s="50"/>
      <c r="H139" s="75"/>
      <c r="I139" s="23"/>
      <c r="J139" s="75"/>
      <c r="K139" s="75"/>
      <c r="L139" s="75"/>
      <c r="M139" s="75"/>
      <c r="N139" s="75"/>
      <c r="O139" s="75"/>
      <c r="P139" s="75"/>
      <c r="Q139" s="75"/>
      <c r="R139" s="75"/>
      <c r="S139" s="23"/>
      <c r="T139" s="27"/>
      <c r="U139" s="27"/>
      <c r="V139" s="31"/>
    </row>
    <row r="140">
      <c r="A140" s="113"/>
      <c r="B140" s="89"/>
      <c r="C140" s="86" t="s">
        <v>61</v>
      </c>
      <c r="D140" s="59">
        <v>150.0</v>
      </c>
      <c r="E140" s="87">
        <f t="shared" si="45"/>
        <v>150</v>
      </c>
      <c r="F140" s="42"/>
      <c r="G140" s="50"/>
      <c r="H140" s="75"/>
      <c r="I140" s="23"/>
      <c r="J140" s="75"/>
      <c r="K140" s="75"/>
      <c r="L140" s="75"/>
      <c r="M140" s="75"/>
      <c r="N140" s="75"/>
      <c r="O140" s="75"/>
      <c r="P140" s="75"/>
      <c r="Q140" s="75"/>
      <c r="R140" s="75"/>
      <c r="S140" s="23"/>
      <c r="T140" s="27"/>
      <c r="U140" s="27"/>
      <c r="V140" s="31"/>
    </row>
    <row r="141">
      <c r="A141" s="113"/>
      <c r="B141" s="90"/>
      <c r="C141" s="91" t="s">
        <v>62</v>
      </c>
      <c r="D141" s="60">
        <f>D131</f>
        <v>300</v>
      </c>
      <c r="E141" s="92">
        <f t="shared" si="45"/>
        <v>300</v>
      </c>
      <c r="F141" s="61"/>
      <c r="G141" s="55"/>
      <c r="H141" s="93"/>
      <c r="I141" s="56"/>
      <c r="J141" s="93"/>
      <c r="K141" s="93"/>
      <c r="L141" s="93"/>
      <c r="M141" s="93"/>
      <c r="N141" s="93"/>
      <c r="O141" s="93"/>
      <c r="P141" s="93"/>
      <c r="Q141" s="93"/>
      <c r="R141" s="93"/>
      <c r="S141" s="56"/>
      <c r="T141" s="57"/>
      <c r="U141" s="57"/>
      <c r="V141" s="58"/>
    </row>
    <row r="142">
      <c r="A142" s="113"/>
      <c r="B142" s="64"/>
      <c r="C142" s="65"/>
      <c r="D142" s="66"/>
      <c r="E142" s="66"/>
      <c r="F142" s="12"/>
      <c r="G142" s="13"/>
      <c r="H142" s="68" t="s">
        <v>27</v>
      </c>
      <c r="I142" s="14"/>
      <c r="J142" s="68"/>
      <c r="K142" s="68" t="s">
        <v>28</v>
      </c>
      <c r="L142" s="69">
        <f>RANDBETWEEN(0,3)</f>
        <v>0</v>
      </c>
      <c r="M142" s="68" t="s">
        <v>29</v>
      </c>
      <c r="N142" s="70">
        <v>1.0</v>
      </c>
      <c r="O142" s="68"/>
      <c r="P142" s="68"/>
      <c r="Q142" s="68"/>
      <c r="R142" s="68"/>
      <c r="S142" s="16"/>
      <c r="T142" s="17"/>
      <c r="U142" s="17"/>
      <c r="V142" s="18"/>
    </row>
    <row r="143">
      <c r="A143" s="113"/>
      <c r="B143" s="71"/>
      <c r="C143" s="72"/>
      <c r="D143" s="73"/>
      <c r="E143" s="73"/>
      <c r="F143" s="21"/>
      <c r="G143" s="22"/>
      <c r="H143" s="75"/>
      <c r="I143" s="23"/>
      <c r="J143" s="75"/>
      <c r="K143" s="75"/>
      <c r="L143" s="76" t="s">
        <v>33</v>
      </c>
      <c r="M143" s="76" t="s">
        <v>33</v>
      </c>
      <c r="N143" s="75"/>
      <c r="O143" s="75"/>
      <c r="P143" s="75"/>
      <c r="Q143" s="75"/>
      <c r="R143" s="75"/>
      <c r="S143" s="25"/>
      <c r="T143" s="26"/>
      <c r="U143" s="27" t="s">
        <v>34</v>
      </c>
      <c r="V143" s="28"/>
    </row>
    <row r="144">
      <c r="A144" s="113"/>
      <c r="B144" s="71"/>
      <c r="C144" s="72"/>
      <c r="D144" s="73"/>
      <c r="E144" s="73"/>
      <c r="F144" s="29" t="s">
        <v>31</v>
      </c>
      <c r="G144" s="30"/>
      <c r="H144" s="75"/>
      <c r="I144" s="23"/>
      <c r="J144" s="75"/>
      <c r="K144" s="75"/>
      <c r="L144" s="78">
        <f>VLOOKUP(L143,RECOVERY!$AA$8:$AP$10,2,FALSE)</f>
        <v>1.4</v>
      </c>
      <c r="M144" s="78">
        <f>VLOOKUP(M143,RECOVERY!$AA$27:$AP$29,2,FALSE)</f>
        <v>0.65</v>
      </c>
      <c r="N144" s="78">
        <v>-1.0</v>
      </c>
      <c r="O144" s="78">
        <v>0.0</v>
      </c>
      <c r="P144" s="78">
        <v>1.0</v>
      </c>
      <c r="Q144" s="75"/>
      <c r="R144" s="78" t="s">
        <v>35</v>
      </c>
      <c r="S144" s="25"/>
      <c r="T144" s="27">
        <v>0.1</v>
      </c>
      <c r="U144" s="27">
        <v>1.33</v>
      </c>
      <c r="V144" s="31">
        <v>-1.23</v>
      </c>
    </row>
    <row r="145">
      <c r="A145" s="113"/>
      <c r="B145" s="79" t="s">
        <v>69</v>
      </c>
      <c r="C145" s="80"/>
      <c r="D145" s="81" t="s">
        <v>36</v>
      </c>
      <c r="E145" s="82" t="s">
        <v>37</v>
      </c>
      <c r="F145" s="29" t="str">
        <f>F135</f>
        <v>0/235</v>
      </c>
      <c r="G145" s="30" t="s">
        <v>38</v>
      </c>
      <c r="H145" s="83" t="s">
        <v>39</v>
      </c>
      <c r="I145" s="36" t="s">
        <v>40</v>
      </c>
      <c r="J145" s="83" t="s">
        <v>41</v>
      </c>
      <c r="K145" s="83" t="s">
        <v>42</v>
      </c>
      <c r="L145" s="83" t="s">
        <v>43</v>
      </c>
      <c r="M145" s="83" t="s">
        <v>44</v>
      </c>
      <c r="N145" s="83" t="s">
        <v>45</v>
      </c>
      <c r="O145" s="83" t="s">
        <v>46</v>
      </c>
      <c r="P145" s="83" t="s">
        <v>47</v>
      </c>
      <c r="Q145" s="84" t="s">
        <v>48</v>
      </c>
      <c r="R145" s="36" t="s">
        <v>49</v>
      </c>
      <c r="S145" s="30" t="s">
        <v>50</v>
      </c>
      <c r="T145" s="37" t="s">
        <v>51</v>
      </c>
      <c r="U145" s="37" t="s">
        <v>45</v>
      </c>
      <c r="V145" s="38" t="s">
        <v>47</v>
      </c>
    </row>
    <row r="146">
      <c r="A146" s="113"/>
      <c r="B146" s="85" t="s">
        <v>67</v>
      </c>
      <c r="C146" s="86" t="s">
        <v>52</v>
      </c>
      <c r="D146" s="59">
        <v>44.0</v>
      </c>
      <c r="E146" s="87">
        <f t="shared" ref="E146:E151" si="47">D146+F146</f>
        <v>44</v>
      </c>
      <c r="F146" s="42"/>
      <c r="G146" s="30">
        <v>34.0</v>
      </c>
      <c r="H146" s="99">
        <f>E146</f>
        <v>44</v>
      </c>
      <c r="I146" s="30">
        <f>1-(E147/1000)</f>
        <v>0.615</v>
      </c>
      <c r="J146" s="88">
        <f>ROUND(POWER(E146/100,0.5),3)</f>
        <v>0.663</v>
      </c>
      <c r="K146" s="62">
        <f>(G148*J146*I146*N142)</f>
        <v>0.81549</v>
      </c>
      <c r="L146" s="99" t="s">
        <v>68</v>
      </c>
      <c r="M146" s="99" t="s">
        <v>68</v>
      </c>
      <c r="N146" s="97" t="s">
        <v>68</v>
      </c>
      <c r="O146" s="111" t="str">
        <f>(D149+(P146*O144))/2</f>
        <v>#VALUE!</v>
      </c>
      <c r="P146" s="97" t="s">
        <v>68</v>
      </c>
      <c r="Q146" s="88">
        <f>3*(E148/100)</f>
        <v>0.03</v>
      </c>
      <c r="R146" s="62" t="str">
        <f>E148*1*(VLOOKUP(B146,SPIN!$M$27:$N$40,2,FALSE))</f>
        <v>#N/A</v>
      </c>
      <c r="S146" s="30">
        <f>E148*2*3.14/60</f>
        <v>0.1046666667</v>
      </c>
      <c r="T146" s="45">
        <f t="shared" ref="T146:V146" si="46">$S146*T144*8</f>
        <v>0.08373333333</v>
      </c>
      <c r="U146" s="45">
        <f t="shared" si="46"/>
        <v>1.113653333</v>
      </c>
      <c r="V146" s="46">
        <f t="shared" si="46"/>
        <v>-1.02992</v>
      </c>
    </row>
    <row r="147">
      <c r="A147" s="113"/>
      <c r="B147" s="89"/>
      <c r="C147" s="86" t="s">
        <v>54</v>
      </c>
      <c r="D147" s="21">
        <f>D137+5</f>
        <v>385</v>
      </c>
      <c r="E147" s="87">
        <f t="shared" si="47"/>
        <v>385</v>
      </c>
      <c r="F147" s="42"/>
      <c r="G147" s="30" t="s">
        <v>55</v>
      </c>
      <c r="H147" s="75"/>
      <c r="I147" s="23"/>
      <c r="J147" s="75"/>
      <c r="K147" s="75"/>
      <c r="L147" s="75"/>
      <c r="M147" s="75"/>
      <c r="N147" s="75"/>
      <c r="O147" s="75"/>
      <c r="P147" s="75"/>
      <c r="Q147" s="75"/>
      <c r="R147" s="75"/>
      <c r="S147" s="75"/>
      <c r="T147" s="100"/>
      <c r="U147" s="100"/>
      <c r="V147" s="101"/>
    </row>
    <row r="148">
      <c r="A148" s="113"/>
      <c r="B148" s="89"/>
      <c r="C148" s="86" t="s">
        <v>57</v>
      </c>
      <c r="D148" s="59">
        <v>1.0</v>
      </c>
      <c r="E148" s="87">
        <f t="shared" si="47"/>
        <v>1</v>
      </c>
      <c r="F148" s="42"/>
      <c r="G148" s="30">
        <v>2.0</v>
      </c>
      <c r="H148" s="75"/>
      <c r="I148" s="23"/>
      <c r="J148" s="75"/>
      <c r="K148" s="75"/>
      <c r="L148" s="75"/>
      <c r="M148" s="75"/>
      <c r="N148" s="75"/>
      <c r="O148" s="75"/>
      <c r="P148" s="75"/>
      <c r="Q148" s="75"/>
      <c r="R148" s="75"/>
      <c r="S148" s="75"/>
      <c r="T148" s="100"/>
      <c r="U148" s="100"/>
      <c r="V148" s="101"/>
    </row>
    <row r="149">
      <c r="A149" s="113"/>
      <c r="B149" s="89"/>
      <c r="C149" s="86" t="s">
        <v>59</v>
      </c>
      <c r="D149" s="59">
        <v>4.0</v>
      </c>
      <c r="E149" s="87">
        <f t="shared" si="47"/>
        <v>4</v>
      </c>
      <c r="F149" s="49"/>
      <c r="G149" s="50"/>
      <c r="H149" s="75"/>
      <c r="I149" s="23"/>
      <c r="J149" s="75"/>
      <c r="K149" s="75"/>
      <c r="L149" s="75"/>
      <c r="M149" s="75"/>
      <c r="N149" s="75"/>
      <c r="O149" s="75"/>
      <c r="P149" s="75"/>
      <c r="Q149" s="75"/>
      <c r="R149" s="75"/>
      <c r="S149" s="75"/>
      <c r="T149" s="100"/>
      <c r="U149" s="100"/>
      <c r="V149" s="101"/>
    </row>
    <row r="150">
      <c r="A150" s="113"/>
      <c r="B150" s="89"/>
      <c r="C150" s="86" t="s">
        <v>61</v>
      </c>
      <c r="D150" s="59">
        <v>1.0</v>
      </c>
      <c r="E150" s="87">
        <f t="shared" si="47"/>
        <v>1</v>
      </c>
      <c r="F150" s="42"/>
      <c r="G150" s="50"/>
      <c r="H150" s="75"/>
      <c r="I150" s="23"/>
      <c r="J150" s="75"/>
      <c r="K150" s="75"/>
      <c r="L150" s="75"/>
      <c r="M150" s="75"/>
      <c r="N150" s="75"/>
      <c r="O150" s="75"/>
      <c r="P150" s="75"/>
      <c r="Q150" s="75"/>
      <c r="R150" s="75"/>
      <c r="S150" s="75"/>
      <c r="T150" s="100"/>
      <c r="U150" s="100"/>
      <c r="V150" s="101"/>
    </row>
    <row r="151">
      <c r="A151" s="113"/>
      <c r="B151" s="90"/>
      <c r="C151" s="91" t="s">
        <v>62</v>
      </c>
      <c r="D151" s="60">
        <f>D141</f>
        <v>300</v>
      </c>
      <c r="E151" s="92">
        <f t="shared" si="47"/>
        <v>300</v>
      </c>
      <c r="F151" s="61"/>
      <c r="G151" s="55"/>
      <c r="H151" s="93"/>
      <c r="I151" s="56"/>
      <c r="J151" s="93"/>
      <c r="K151" s="93"/>
      <c r="L151" s="93"/>
      <c r="M151" s="93"/>
      <c r="N151" s="93"/>
      <c r="O151" s="93"/>
      <c r="P151" s="93"/>
      <c r="Q151" s="93"/>
      <c r="R151" s="93"/>
      <c r="S151" s="93"/>
      <c r="T151" s="102"/>
      <c r="U151" s="102"/>
      <c r="V151" s="103"/>
    </row>
  </sheetData>
  <dataValidations>
    <dataValidation type="list" allowBlank="1" showErrorMessage="1" sqref="N2 N12 N22 N32 N42 N52 N62 N72 N82 N92 N102 N112 N122 N132 N142">
      <formula1>"0,0.5,1"</formula1>
    </dataValidation>
    <dataValidation type="list" allowBlank="1" showErrorMessage="1" sqref="L3:M3 L13:M13 L23:M23 L33:M33 L43:M43 L53:M53 L63:M63 L73:M73 L83:M83 L93:M93 L103:M103 L113:M113 L123:M123 L133:M133 L143:M143">
      <formula1>"Rough,SemiRough,Bunker"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5A6BD"/>
    <outlinePr summaryBelow="0" summaryRight="0"/>
  </sheetPr>
  <sheetViews>
    <sheetView workbookViewId="0"/>
  </sheetViews>
  <sheetFormatPr customHeight="1" defaultColWidth="12.63" defaultRowHeight="15.75"/>
  <cols>
    <col customWidth="1" min="1" max="1" width="2.88"/>
    <col customWidth="1" min="4" max="4" width="8.13"/>
    <col customWidth="1" min="6" max="6" width="11.38"/>
    <col customWidth="1" min="7" max="7" width="4.63"/>
    <col customWidth="1" min="8" max="8" width="14.63"/>
    <col customWidth="1" min="9" max="9" width="6.63"/>
    <col customWidth="1" min="10" max="10" width="5.63"/>
    <col customWidth="1" min="11" max="11" width="14.13"/>
    <col customWidth="1" min="12" max="12" width="16.13"/>
    <col customWidth="1" min="14" max="14" width="9.0"/>
    <col customWidth="1" min="15" max="16" width="10.38"/>
    <col customWidth="1" min="17" max="17" width="4.5"/>
    <col customWidth="1" min="18" max="18" width="10.38"/>
    <col customWidth="1" min="19" max="19" width="4.5"/>
    <col customWidth="1" min="20" max="22" width="10.13"/>
    <col customWidth="1" min="26" max="26" width="14.5"/>
    <col customWidth="1" min="27" max="27" width="3.88"/>
  </cols>
  <sheetData>
    <row r="2">
      <c r="B2" s="10"/>
      <c r="C2" s="11"/>
      <c r="D2" s="11"/>
      <c r="E2" s="11"/>
      <c r="F2" s="12"/>
      <c r="G2" s="13"/>
      <c r="H2" s="14" t="s">
        <v>27</v>
      </c>
      <c r="I2" s="14"/>
      <c r="J2" s="14"/>
      <c r="K2" s="14" t="s">
        <v>28</v>
      </c>
      <c r="L2" s="16">
        <f>RANDBETWEEN(0,3)</f>
        <v>3</v>
      </c>
      <c r="M2" s="14" t="s">
        <v>29</v>
      </c>
      <c r="N2" s="105">
        <v>1.0</v>
      </c>
      <c r="O2" s="68"/>
      <c r="P2" s="68"/>
      <c r="Q2" s="16"/>
      <c r="R2" s="16"/>
      <c r="S2" s="16"/>
      <c r="T2" s="17"/>
      <c r="U2" s="17"/>
      <c r="V2" s="18"/>
      <c r="Z2" s="3" t="s">
        <v>30</v>
      </c>
      <c r="AC2" s="3" t="s">
        <v>31</v>
      </c>
    </row>
    <row r="3">
      <c r="B3" s="19"/>
      <c r="C3" s="20"/>
      <c r="D3" s="20"/>
      <c r="E3" s="20"/>
      <c r="F3" s="21"/>
      <c r="G3" s="22"/>
      <c r="H3" s="23"/>
      <c r="I3" s="23"/>
      <c r="J3" s="23"/>
      <c r="K3" s="23"/>
      <c r="L3" s="24" t="s">
        <v>33</v>
      </c>
      <c r="M3" s="24" t="s">
        <v>33</v>
      </c>
      <c r="N3" s="75"/>
      <c r="O3" s="75"/>
      <c r="P3" s="75"/>
      <c r="Q3" s="25"/>
      <c r="R3" s="25"/>
      <c r="S3" s="25"/>
      <c r="T3" s="26"/>
      <c r="U3" s="27" t="s">
        <v>34</v>
      </c>
      <c r="V3" s="28"/>
      <c r="Z3" s="3"/>
      <c r="AC3" s="3"/>
    </row>
    <row r="4">
      <c r="B4" s="19"/>
      <c r="C4" s="20"/>
      <c r="D4" s="20"/>
      <c r="E4" s="20"/>
      <c r="F4" s="29" t="s">
        <v>31</v>
      </c>
      <c r="G4" s="22"/>
      <c r="H4" s="23"/>
      <c r="I4" s="23"/>
      <c r="J4" s="23"/>
      <c r="K4" s="23"/>
      <c r="L4" s="25">
        <f>VLOOKUP(L3,RECOVERY!$AA$8:$AP$10,2,FALSE)</f>
        <v>1.4</v>
      </c>
      <c r="M4" s="25">
        <f>VLOOKUP(M3,RECOVERY!$AA$27:$AP$29,2,FALSE)</f>
        <v>0.65</v>
      </c>
      <c r="N4" s="106">
        <v>-1.5</v>
      </c>
      <c r="O4" s="106">
        <v>0.0</v>
      </c>
      <c r="P4" s="106">
        <v>1.5</v>
      </c>
      <c r="Q4" s="25"/>
      <c r="R4" s="23" t="s">
        <v>35</v>
      </c>
      <c r="S4" s="25"/>
      <c r="T4" s="27">
        <v>0.1</v>
      </c>
      <c r="U4" s="27">
        <v>1.33</v>
      </c>
      <c r="V4" s="31">
        <v>-1.23</v>
      </c>
      <c r="Z4" s="3"/>
      <c r="AC4" s="3"/>
    </row>
    <row r="5">
      <c r="B5" s="32" t="s">
        <v>11</v>
      </c>
      <c r="C5" s="33"/>
      <c r="D5" s="21" t="s">
        <v>36</v>
      </c>
      <c r="E5" s="34" t="s">
        <v>37</v>
      </c>
      <c r="F5" s="29" t="str">
        <f>SUM(F6:F11)&amp;"/325"</f>
        <v>0/325</v>
      </c>
      <c r="G5" s="30" t="s">
        <v>38</v>
      </c>
      <c r="H5" s="36" t="s">
        <v>39</v>
      </c>
      <c r="I5" s="36" t="s">
        <v>40</v>
      </c>
      <c r="J5" s="36" t="s">
        <v>41</v>
      </c>
      <c r="K5" s="36" t="s">
        <v>42</v>
      </c>
      <c r="L5" s="36" t="s">
        <v>43</v>
      </c>
      <c r="M5" s="36" t="s">
        <v>44</v>
      </c>
      <c r="N5" s="107" t="s">
        <v>45</v>
      </c>
      <c r="O5" s="107" t="s">
        <v>46</v>
      </c>
      <c r="P5" s="107" t="s">
        <v>47</v>
      </c>
      <c r="Q5" s="30" t="s">
        <v>48</v>
      </c>
      <c r="R5" s="36" t="s">
        <v>70</v>
      </c>
      <c r="S5" s="30" t="s">
        <v>50</v>
      </c>
      <c r="T5" s="37" t="s">
        <v>51</v>
      </c>
      <c r="U5" s="37" t="s">
        <v>45</v>
      </c>
      <c r="V5" s="38" t="s">
        <v>47</v>
      </c>
      <c r="Z5" s="3" t="s">
        <v>11</v>
      </c>
      <c r="AA5" s="3" t="s">
        <v>36</v>
      </c>
      <c r="AB5" s="3" t="s">
        <v>37</v>
      </c>
      <c r="AC5" s="3" t="str">
        <f>SUM(AC6:AC9)&amp;"/25"</f>
        <v>0/25</v>
      </c>
      <c r="AD5" s="3" t="s">
        <v>38</v>
      </c>
    </row>
    <row r="6">
      <c r="B6" s="39" t="s">
        <v>12</v>
      </c>
      <c r="C6" s="40" t="s">
        <v>52</v>
      </c>
      <c r="D6" s="21">
        <v>300.0</v>
      </c>
      <c r="E6" s="41">
        <f t="shared" ref="E6:E11" si="3">D6+F6</f>
        <v>300</v>
      </c>
      <c r="F6" s="42"/>
      <c r="G6" s="30">
        <v>55.0</v>
      </c>
      <c r="H6" s="44">
        <f>$G$6+(E6/2)+$AD$6+(AB6/2)+$L$2</f>
        <v>258</v>
      </c>
      <c r="I6" s="30">
        <f>1-(E7/1000)</f>
        <v>0.6</v>
      </c>
      <c r="J6" s="30">
        <f>ROUND(POWER(E6/100,0.5),3)</f>
        <v>1.732</v>
      </c>
      <c r="K6" s="44">
        <f>(G8*J6*I6*N2)</f>
        <v>5.196</v>
      </c>
      <c r="L6" s="44">
        <f>1+(L4-1)*(1-E10/500)</f>
        <v>1.2784</v>
      </c>
      <c r="M6" s="44">
        <f>M4+((1-M4)*0.5*E10/400)</f>
        <v>0.7165</v>
      </c>
      <c r="N6" s="62">
        <f>(E9+(Q6*N4))/1.3</f>
        <v>23.46153846</v>
      </c>
      <c r="O6" s="62">
        <f t="shared" ref="O6:P6" si="1">(D9+(P6*O4))/1.3</f>
        <v>26.92307692</v>
      </c>
      <c r="P6" s="62">
        <f t="shared" si="1"/>
        <v>30.38461538</v>
      </c>
      <c r="Q6" s="30">
        <f>3*(E8/100)</f>
        <v>3</v>
      </c>
      <c r="R6" s="44">
        <f>E8*1*(VLOOKUP(B6,SPIN!$M$27:$N$40,2,FALSE))</f>
        <v>4000</v>
      </c>
      <c r="S6" s="30">
        <f>E8*2*3.14/60</f>
        <v>10.46666667</v>
      </c>
      <c r="T6" s="45">
        <f t="shared" ref="T6:V6" si="2">$S6*T4*8</f>
        <v>8.373333333</v>
      </c>
      <c r="U6" s="45">
        <f t="shared" si="2"/>
        <v>111.3653333</v>
      </c>
      <c r="V6" s="46">
        <f t="shared" si="2"/>
        <v>-102.992</v>
      </c>
      <c r="Z6" s="3" t="s">
        <v>53</v>
      </c>
      <c r="AA6" s="3">
        <v>40.0</v>
      </c>
      <c r="AB6" s="4">
        <f t="shared" ref="AB6:AB9" si="4">AA6+AC6</f>
        <v>40</v>
      </c>
      <c r="AD6" s="3">
        <v>30.0</v>
      </c>
    </row>
    <row r="7">
      <c r="B7" s="47"/>
      <c r="C7" s="40" t="s">
        <v>54</v>
      </c>
      <c r="D7" s="21">
        <v>400.0</v>
      </c>
      <c r="E7" s="41">
        <f t="shared" si="3"/>
        <v>400</v>
      </c>
      <c r="F7" s="42"/>
      <c r="G7" s="30" t="s">
        <v>55</v>
      </c>
      <c r="H7" s="23" t="s">
        <v>27</v>
      </c>
      <c r="I7" s="23"/>
      <c r="J7" s="23"/>
      <c r="K7" s="23"/>
      <c r="L7" s="23"/>
      <c r="M7" s="23"/>
      <c r="N7" s="108"/>
      <c r="O7" s="108"/>
      <c r="P7" s="108"/>
      <c r="Q7" s="23"/>
      <c r="R7" s="23"/>
      <c r="S7" s="23"/>
      <c r="T7" s="27"/>
      <c r="U7" s="27"/>
      <c r="V7" s="31"/>
      <c r="Z7" s="3" t="s">
        <v>56</v>
      </c>
      <c r="AA7" s="3">
        <v>50.0</v>
      </c>
      <c r="AB7" s="4">
        <f t="shared" si="4"/>
        <v>50</v>
      </c>
    </row>
    <row r="8">
      <c r="B8" s="47"/>
      <c r="C8" s="40" t="s">
        <v>57</v>
      </c>
      <c r="D8" s="21">
        <f>D18-15</f>
        <v>100</v>
      </c>
      <c r="E8" s="41">
        <f t="shared" si="3"/>
        <v>100</v>
      </c>
      <c r="F8" s="42"/>
      <c r="G8" s="30">
        <v>5.0</v>
      </c>
      <c r="H8" s="23"/>
      <c r="I8" s="23"/>
      <c r="J8" s="23"/>
      <c r="K8" s="23"/>
      <c r="L8" s="23"/>
      <c r="M8" s="23"/>
      <c r="N8" s="108"/>
      <c r="O8" s="108"/>
      <c r="P8" s="108"/>
      <c r="Q8" s="23"/>
      <c r="R8" s="23"/>
      <c r="S8" s="23"/>
      <c r="T8" s="27"/>
      <c r="U8" s="27"/>
      <c r="V8" s="31"/>
      <c r="Z8" s="3" t="s">
        <v>58</v>
      </c>
      <c r="AA8" s="3">
        <v>150.0</v>
      </c>
      <c r="AB8" s="4">
        <f t="shared" si="4"/>
        <v>150</v>
      </c>
    </row>
    <row r="9">
      <c r="B9" s="47"/>
      <c r="C9" s="40" t="s">
        <v>59</v>
      </c>
      <c r="D9" s="48">
        <f>'DEFAULT CLUBS-COMMON'!D9</f>
        <v>35</v>
      </c>
      <c r="E9" s="41">
        <f t="shared" si="3"/>
        <v>35</v>
      </c>
      <c r="F9" s="49"/>
      <c r="G9" s="50"/>
      <c r="H9" s="23"/>
      <c r="I9" s="23"/>
      <c r="J9" s="23"/>
      <c r="K9" s="23"/>
      <c r="L9" s="23"/>
      <c r="M9" s="23"/>
      <c r="N9" s="108"/>
      <c r="O9" s="108"/>
      <c r="P9" s="108"/>
      <c r="Q9" s="23"/>
      <c r="R9" s="23"/>
      <c r="S9" s="23"/>
      <c r="T9" s="27"/>
      <c r="U9" s="27"/>
      <c r="V9" s="31"/>
      <c r="Z9" s="3" t="s">
        <v>60</v>
      </c>
      <c r="AA9" s="3">
        <v>5.0</v>
      </c>
      <c r="AB9" s="4">
        <f t="shared" si="4"/>
        <v>5</v>
      </c>
    </row>
    <row r="10">
      <c r="B10" s="47"/>
      <c r="C10" s="40" t="s">
        <v>61</v>
      </c>
      <c r="D10" s="59">
        <f>D20-6</f>
        <v>152</v>
      </c>
      <c r="E10" s="41">
        <f t="shared" si="3"/>
        <v>152</v>
      </c>
      <c r="F10" s="42"/>
      <c r="G10" s="22"/>
      <c r="H10" s="23"/>
      <c r="I10" s="23"/>
      <c r="J10" s="23"/>
      <c r="K10" s="23"/>
      <c r="L10" s="23"/>
      <c r="M10" s="23"/>
      <c r="N10" s="108"/>
      <c r="O10" s="108"/>
      <c r="P10" s="108"/>
      <c r="Q10" s="23"/>
      <c r="R10" s="23"/>
      <c r="S10" s="23"/>
      <c r="T10" s="27"/>
      <c r="U10" s="27"/>
      <c r="V10" s="31"/>
    </row>
    <row r="11">
      <c r="B11" s="51"/>
      <c r="C11" s="52" t="s">
        <v>62</v>
      </c>
      <c r="D11" s="53">
        <v>350.0</v>
      </c>
      <c r="E11" s="54">
        <f t="shared" si="3"/>
        <v>350</v>
      </c>
      <c r="F11" s="61"/>
      <c r="G11" s="55"/>
      <c r="H11" s="56"/>
      <c r="I11" s="56"/>
      <c r="J11" s="56"/>
      <c r="K11" s="56"/>
      <c r="L11" s="56"/>
      <c r="M11" s="56"/>
      <c r="N11" s="110"/>
      <c r="O11" s="110"/>
      <c r="P11" s="110"/>
      <c r="Q11" s="56"/>
      <c r="R11" s="56"/>
      <c r="S11" s="56"/>
      <c r="T11" s="57"/>
      <c r="U11" s="57"/>
      <c r="V11" s="58"/>
    </row>
    <row r="12">
      <c r="B12" s="10"/>
      <c r="C12" s="11"/>
      <c r="D12" s="11"/>
      <c r="E12" s="11"/>
      <c r="F12" s="12"/>
      <c r="G12" s="13"/>
      <c r="H12" s="14" t="s">
        <v>27</v>
      </c>
      <c r="I12" s="14"/>
      <c r="J12" s="14"/>
      <c r="K12" s="14" t="s">
        <v>28</v>
      </c>
      <c r="L12" s="16">
        <f>RANDBETWEEN(0,3)</f>
        <v>2</v>
      </c>
      <c r="M12" s="14" t="s">
        <v>29</v>
      </c>
      <c r="N12" s="105">
        <v>1.0</v>
      </c>
      <c r="O12" s="68"/>
      <c r="P12" s="68"/>
      <c r="Q12" s="16"/>
      <c r="R12" s="16"/>
      <c r="S12" s="16"/>
      <c r="T12" s="17"/>
      <c r="U12" s="17"/>
      <c r="V12" s="18"/>
    </row>
    <row r="13">
      <c r="B13" s="19"/>
      <c r="C13" s="20"/>
      <c r="D13" s="20"/>
      <c r="E13" s="20"/>
      <c r="F13" s="21"/>
      <c r="G13" s="22"/>
      <c r="H13" s="23"/>
      <c r="I13" s="23"/>
      <c r="J13" s="23"/>
      <c r="K13" s="23"/>
      <c r="L13" s="24" t="s">
        <v>33</v>
      </c>
      <c r="M13" s="24" t="s">
        <v>33</v>
      </c>
      <c r="N13" s="75"/>
      <c r="O13" s="75"/>
      <c r="P13" s="75"/>
      <c r="Q13" s="25"/>
      <c r="R13" s="25"/>
      <c r="S13" s="25"/>
      <c r="T13" s="26"/>
      <c r="U13" s="27" t="s">
        <v>34</v>
      </c>
      <c r="V13" s="28"/>
    </row>
    <row r="14">
      <c r="B14" s="19"/>
      <c r="C14" s="20"/>
      <c r="D14" s="20"/>
      <c r="E14" s="20"/>
      <c r="F14" s="29" t="s">
        <v>31</v>
      </c>
      <c r="G14" s="22"/>
      <c r="H14" s="23"/>
      <c r="I14" s="23"/>
      <c r="J14" s="23"/>
      <c r="K14" s="23"/>
      <c r="L14" s="25">
        <f>VLOOKUP(L13,RECOVERY!$AA$8:$AP$10,3,FALSE)</f>
        <v>1.4</v>
      </c>
      <c r="M14" s="25">
        <f>VLOOKUP(M13,RECOVERY!$AA$27:$AP$29,3,FALSE)</f>
        <v>0.65</v>
      </c>
      <c r="N14" s="106">
        <v>-1.5</v>
      </c>
      <c r="O14" s="106">
        <v>0.0</v>
      </c>
      <c r="P14" s="106">
        <v>1.5</v>
      </c>
      <c r="Q14" s="25"/>
      <c r="R14" s="23" t="s">
        <v>35</v>
      </c>
      <c r="S14" s="25"/>
      <c r="T14" s="27">
        <v>0.1</v>
      </c>
      <c r="U14" s="27">
        <v>1.33</v>
      </c>
      <c r="V14" s="31">
        <v>-1.23</v>
      </c>
    </row>
    <row r="15">
      <c r="B15" s="32" t="s">
        <v>11</v>
      </c>
      <c r="C15" s="33"/>
      <c r="D15" s="21" t="s">
        <v>36</v>
      </c>
      <c r="E15" s="34" t="s">
        <v>37</v>
      </c>
      <c r="F15" s="29" t="str">
        <f>SUM(F16:F21)&amp;"/325"</f>
        <v>0/325</v>
      </c>
      <c r="G15" s="30" t="s">
        <v>38</v>
      </c>
      <c r="H15" s="36" t="s">
        <v>39</v>
      </c>
      <c r="I15" s="36" t="s">
        <v>40</v>
      </c>
      <c r="J15" s="36" t="s">
        <v>41</v>
      </c>
      <c r="K15" s="36" t="s">
        <v>42</v>
      </c>
      <c r="L15" s="36" t="s">
        <v>43</v>
      </c>
      <c r="M15" s="36" t="s">
        <v>44</v>
      </c>
      <c r="N15" s="107" t="s">
        <v>45</v>
      </c>
      <c r="O15" s="107" t="s">
        <v>46</v>
      </c>
      <c r="P15" s="107" t="s">
        <v>47</v>
      </c>
      <c r="Q15" s="30" t="s">
        <v>48</v>
      </c>
      <c r="R15" s="36" t="s">
        <v>70</v>
      </c>
      <c r="S15" s="30" t="s">
        <v>50</v>
      </c>
      <c r="T15" s="37" t="s">
        <v>51</v>
      </c>
      <c r="U15" s="37" t="s">
        <v>45</v>
      </c>
      <c r="V15" s="38" t="s">
        <v>47</v>
      </c>
    </row>
    <row r="16">
      <c r="B16" s="39" t="s">
        <v>13</v>
      </c>
      <c r="C16" s="40" t="s">
        <v>52</v>
      </c>
      <c r="D16" s="21">
        <f>D6-10</f>
        <v>290</v>
      </c>
      <c r="E16" s="41">
        <f t="shared" ref="E16:E21" si="7">D16+F16</f>
        <v>290</v>
      </c>
      <c r="F16" s="42"/>
      <c r="G16" s="30">
        <v>55.0</v>
      </c>
      <c r="H16" s="44">
        <f>$G$6+(E16/2)+$AD$6+(AB16/2)+$L$2</f>
        <v>233</v>
      </c>
      <c r="I16" s="30">
        <f>1-(E17/1000)</f>
        <v>0.6</v>
      </c>
      <c r="J16" s="30">
        <f>ROUND(POWER(E16/100,0.5),3)</f>
        <v>1.703</v>
      </c>
      <c r="K16" s="44">
        <f>(G18*J16*I16*N12)</f>
        <v>5.109</v>
      </c>
      <c r="L16" s="44">
        <f>1+(L14-1)*(1-E20/500)</f>
        <v>1.2736</v>
      </c>
      <c r="M16" s="44">
        <f>M14+((1-M14)*0.5*E20/400)</f>
        <v>0.719125</v>
      </c>
      <c r="N16" s="62">
        <f>(E19+(Q16*N14))/1.3</f>
        <v>22.94230769</v>
      </c>
      <c r="O16" s="62">
        <f t="shared" ref="O16:P16" si="5">(D19+(P16*O14))/1.3</f>
        <v>26.92307692</v>
      </c>
      <c r="P16" s="62">
        <f t="shared" si="5"/>
        <v>30.90384615</v>
      </c>
      <c r="Q16" s="30">
        <f>3*(E18/100)</f>
        <v>3.45</v>
      </c>
      <c r="R16" s="44">
        <f>E18*1*(VLOOKUP(B16,SPIN!$M$27:$N$40,2,FALSE))</f>
        <v>5750</v>
      </c>
      <c r="S16" s="30">
        <f>E18*2*3.14/60</f>
        <v>12.03666667</v>
      </c>
      <c r="T16" s="45">
        <f t="shared" ref="T16:V16" si="6">$S16*T14*8</f>
        <v>9.629333333</v>
      </c>
      <c r="U16" s="45">
        <f t="shared" si="6"/>
        <v>128.0701333</v>
      </c>
      <c r="V16" s="46">
        <f t="shared" si="6"/>
        <v>-118.4408</v>
      </c>
    </row>
    <row r="17">
      <c r="B17" s="47"/>
      <c r="C17" s="40" t="s">
        <v>54</v>
      </c>
      <c r="D17" s="21">
        <f>D7</f>
        <v>400</v>
      </c>
      <c r="E17" s="41">
        <f t="shared" si="7"/>
        <v>400</v>
      </c>
      <c r="F17" s="42"/>
      <c r="G17" s="30" t="s">
        <v>55</v>
      </c>
      <c r="H17" s="23"/>
      <c r="I17" s="23"/>
      <c r="J17" s="23"/>
      <c r="K17" s="23"/>
      <c r="L17" s="23"/>
      <c r="M17" s="23"/>
      <c r="N17" s="108"/>
      <c r="O17" s="108"/>
      <c r="P17" s="108"/>
      <c r="Q17" s="23"/>
      <c r="R17" s="23"/>
      <c r="S17" s="23"/>
      <c r="T17" s="27"/>
      <c r="U17" s="27"/>
      <c r="V17" s="31"/>
    </row>
    <row r="18">
      <c r="B18" s="47"/>
      <c r="C18" s="40" t="s">
        <v>57</v>
      </c>
      <c r="D18" s="21">
        <f>D28</f>
        <v>115</v>
      </c>
      <c r="E18" s="41">
        <f t="shared" si="7"/>
        <v>115</v>
      </c>
      <c r="F18" s="42"/>
      <c r="G18" s="30">
        <v>5.0</v>
      </c>
      <c r="H18" s="23"/>
      <c r="I18" s="23"/>
      <c r="J18" s="23"/>
      <c r="K18" s="23"/>
      <c r="L18" s="23"/>
      <c r="M18" s="23"/>
      <c r="N18" s="108"/>
      <c r="O18" s="108"/>
      <c r="P18" s="108"/>
      <c r="Q18" s="23"/>
      <c r="R18" s="23"/>
      <c r="S18" s="23"/>
      <c r="T18" s="27"/>
      <c r="U18" s="27"/>
      <c r="V18" s="31"/>
    </row>
    <row r="19">
      <c r="B19" s="47"/>
      <c r="C19" s="40" t="s">
        <v>59</v>
      </c>
      <c r="D19" s="48">
        <f>'DEFAULT CLUBS-COMMON'!D19</f>
        <v>35</v>
      </c>
      <c r="E19" s="41">
        <f t="shared" si="7"/>
        <v>35</v>
      </c>
      <c r="F19" s="49"/>
      <c r="G19" s="50"/>
      <c r="H19" s="23"/>
      <c r="I19" s="23"/>
      <c r="J19" s="23"/>
      <c r="K19" s="23"/>
      <c r="L19" s="23"/>
      <c r="M19" s="23"/>
      <c r="N19" s="108"/>
      <c r="O19" s="108"/>
      <c r="P19" s="108"/>
      <c r="Q19" s="23"/>
      <c r="R19" s="23"/>
      <c r="S19" s="23"/>
      <c r="T19" s="27"/>
      <c r="U19" s="27"/>
      <c r="V19" s="31"/>
    </row>
    <row r="20">
      <c r="B20" s="47"/>
      <c r="C20" s="40" t="s">
        <v>61</v>
      </c>
      <c r="D20" s="59">
        <f>D30</f>
        <v>158</v>
      </c>
      <c r="E20" s="41">
        <f t="shared" si="7"/>
        <v>158</v>
      </c>
      <c r="F20" s="42"/>
      <c r="G20" s="22"/>
      <c r="H20" s="23"/>
      <c r="I20" s="23"/>
      <c r="J20" s="23"/>
      <c r="K20" s="23"/>
      <c r="L20" s="23"/>
      <c r="M20" s="23"/>
      <c r="N20" s="108"/>
      <c r="O20" s="108"/>
      <c r="P20" s="108"/>
      <c r="Q20" s="23"/>
      <c r="R20" s="23"/>
      <c r="S20" s="23"/>
      <c r="T20" s="27"/>
      <c r="U20" s="27"/>
      <c r="V20" s="31"/>
    </row>
    <row r="21">
      <c r="B21" s="51"/>
      <c r="C21" s="52" t="s">
        <v>62</v>
      </c>
      <c r="D21" s="60">
        <f>D11</f>
        <v>350</v>
      </c>
      <c r="E21" s="54">
        <f t="shared" si="7"/>
        <v>350</v>
      </c>
      <c r="F21" s="61"/>
      <c r="G21" s="55"/>
      <c r="H21" s="56"/>
      <c r="I21" s="56"/>
      <c r="J21" s="56"/>
      <c r="K21" s="56"/>
      <c r="L21" s="56"/>
      <c r="M21" s="56"/>
      <c r="N21" s="110"/>
      <c r="O21" s="110"/>
      <c r="P21" s="110"/>
      <c r="Q21" s="56"/>
      <c r="R21" s="56"/>
      <c r="S21" s="56"/>
      <c r="T21" s="57"/>
      <c r="U21" s="57"/>
      <c r="V21" s="58"/>
    </row>
    <row r="22">
      <c r="B22" s="10"/>
      <c r="C22" s="11"/>
      <c r="D22" s="11"/>
      <c r="E22" s="11"/>
      <c r="F22" s="12"/>
      <c r="G22" s="13"/>
      <c r="H22" s="14" t="s">
        <v>27</v>
      </c>
      <c r="I22" s="14"/>
      <c r="J22" s="14"/>
      <c r="K22" s="14" t="s">
        <v>28</v>
      </c>
      <c r="L22" s="16">
        <f>RANDBETWEEN(0,3)</f>
        <v>3</v>
      </c>
      <c r="M22" s="14" t="s">
        <v>29</v>
      </c>
      <c r="N22" s="105">
        <v>1.0</v>
      </c>
      <c r="O22" s="68"/>
      <c r="P22" s="68"/>
      <c r="Q22" s="16"/>
      <c r="R22" s="16"/>
      <c r="S22" s="16"/>
      <c r="T22" s="17"/>
      <c r="U22" s="17"/>
      <c r="V22" s="18"/>
    </row>
    <row r="23">
      <c r="B23" s="19"/>
      <c r="C23" s="20"/>
      <c r="D23" s="20"/>
      <c r="E23" s="20"/>
      <c r="F23" s="21"/>
      <c r="G23" s="22"/>
      <c r="H23" s="23"/>
      <c r="I23" s="23"/>
      <c r="J23" s="23"/>
      <c r="K23" s="23"/>
      <c r="L23" s="24" t="s">
        <v>33</v>
      </c>
      <c r="M23" s="24" t="s">
        <v>33</v>
      </c>
      <c r="N23" s="75"/>
      <c r="O23" s="75"/>
      <c r="P23" s="75"/>
      <c r="Q23" s="25"/>
      <c r="R23" s="25"/>
      <c r="S23" s="25"/>
      <c r="T23" s="26"/>
      <c r="U23" s="27" t="s">
        <v>34</v>
      </c>
      <c r="V23" s="28"/>
    </row>
    <row r="24">
      <c r="B24" s="19"/>
      <c r="C24" s="20"/>
      <c r="D24" s="20"/>
      <c r="E24" s="20"/>
      <c r="F24" s="29" t="s">
        <v>31</v>
      </c>
      <c r="G24" s="22"/>
      <c r="H24" s="23"/>
      <c r="I24" s="23"/>
      <c r="J24" s="23"/>
      <c r="K24" s="23"/>
      <c r="L24" s="25">
        <f>VLOOKUP(L23,RECOVERY!$AA$8:$AP$10,4,FALSE)</f>
        <v>1.4</v>
      </c>
      <c r="M24" s="25">
        <f>VLOOKUP(M23,RECOVERY!$AA$27:$AP$29,4,FALSE)</f>
        <v>0.65</v>
      </c>
      <c r="N24" s="106">
        <v>-1.5</v>
      </c>
      <c r="O24" s="106">
        <v>0.0</v>
      </c>
      <c r="P24" s="106">
        <v>1.5</v>
      </c>
      <c r="Q24" s="25"/>
      <c r="R24" s="23" t="s">
        <v>35</v>
      </c>
      <c r="S24" s="25"/>
      <c r="T24" s="27">
        <v>0.1</v>
      </c>
      <c r="U24" s="27">
        <v>1.33</v>
      </c>
      <c r="V24" s="31">
        <v>-1.23</v>
      </c>
    </row>
    <row r="25">
      <c r="B25" s="32" t="s">
        <v>11</v>
      </c>
      <c r="C25" s="33"/>
      <c r="D25" s="21" t="s">
        <v>36</v>
      </c>
      <c r="E25" s="34" t="s">
        <v>37</v>
      </c>
      <c r="F25" s="29" t="str">
        <f>SUM(F26:F31)&amp;"/325"</f>
        <v>0/325</v>
      </c>
      <c r="G25" s="30" t="s">
        <v>38</v>
      </c>
      <c r="H25" s="36" t="s">
        <v>39</v>
      </c>
      <c r="I25" s="36" t="s">
        <v>40</v>
      </c>
      <c r="J25" s="36" t="s">
        <v>41</v>
      </c>
      <c r="K25" s="36" t="s">
        <v>42</v>
      </c>
      <c r="L25" s="36" t="s">
        <v>43</v>
      </c>
      <c r="M25" s="36" t="s">
        <v>44</v>
      </c>
      <c r="N25" s="107" t="s">
        <v>45</v>
      </c>
      <c r="O25" s="107" t="s">
        <v>46</v>
      </c>
      <c r="P25" s="107" t="s">
        <v>47</v>
      </c>
      <c r="Q25" s="30" t="s">
        <v>48</v>
      </c>
      <c r="R25" s="36" t="s">
        <v>70</v>
      </c>
      <c r="S25" s="30" t="s">
        <v>50</v>
      </c>
      <c r="T25" s="37" t="s">
        <v>51</v>
      </c>
      <c r="U25" s="37" t="s">
        <v>45</v>
      </c>
      <c r="V25" s="38" t="s">
        <v>47</v>
      </c>
    </row>
    <row r="26">
      <c r="B26" s="39" t="s">
        <v>14</v>
      </c>
      <c r="C26" s="40" t="s">
        <v>52</v>
      </c>
      <c r="D26" s="21">
        <f>D16-10</f>
        <v>280</v>
      </c>
      <c r="E26" s="41">
        <f t="shared" ref="E26:E31" si="10">D26+F26</f>
        <v>280</v>
      </c>
      <c r="F26" s="42"/>
      <c r="G26" s="30">
        <v>55.0</v>
      </c>
      <c r="H26" s="62">
        <f>$G$6+(E26/2)+$AD$6+(AB26/2)+$L$2</f>
        <v>228</v>
      </c>
      <c r="I26" s="30">
        <f>1-(E27/1000)</f>
        <v>0.595</v>
      </c>
      <c r="J26" s="63">
        <f>ROUND(POWER(E26/100,0.5),3)</f>
        <v>1.673</v>
      </c>
      <c r="K26" s="62">
        <f>(G28*J26*I26*N22)</f>
        <v>4.977175</v>
      </c>
      <c r="L26" s="62">
        <f>1+(L24-1)*(1-E30/500)</f>
        <v>1.2736</v>
      </c>
      <c r="M26" s="44">
        <f>M24+((1-M24)*0.5*E30/400)</f>
        <v>0.719125</v>
      </c>
      <c r="N26" s="62">
        <f>(E29+(Q26*N24))/1.3</f>
        <v>22.94230769</v>
      </c>
      <c r="O26" s="62">
        <f t="shared" ref="O26:P26" si="8">(D29+(P26*O24))/1.3</f>
        <v>26.92307692</v>
      </c>
      <c r="P26" s="62">
        <f t="shared" si="8"/>
        <v>30.90384615</v>
      </c>
      <c r="Q26" s="63">
        <f>3*(E28/100)</f>
        <v>3.45</v>
      </c>
      <c r="R26" s="62">
        <f>E28*1*(VLOOKUP(B26,SPIN!$M$27:$N$40,2,FALSE))</f>
        <v>5750</v>
      </c>
      <c r="S26" s="30">
        <f>E28*2*3.14/60</f>
        <v>12.03666667</v>
      </c>
      <c r="T26" s="45">
        <f t="shared" ref="T26:V26" si="9">$S26*T24*8</f>
        <v>9.629333333</v>
      </c>
      <c r="U26" s="45">
        <f t="shared" si="9"/>
        <v>128.0701333</v>
      </c>
      <c r="V26" s="46">
        <f t="shared" si="9"/>
        <v>-118.4408</v>
      </c>
    </row>
    <row r="27">
      <c r="B27" s="47"/>
      <c r="C27" s="40" t="s">
        <v>54</v>
      </c>
      <c r="D27" s="21">
        <f>D17+5</f>
        <v>405</v>
      </c>
      <c r="E27" s="41">
        <f t="shared" si="10"/>
        <v>405</v>
      </c>
      <c r="F27" s="42"/>
      <c r="G27" s="30" t="s">
        <v>55</v>
      </c>
      <c r="H27" s="23"/>
      <c r="I27" s="23"/>
      <c r="J27" s="23"/>
      <c r="K27" s="23"/>
      <c r="L27" s="23"/>
      <c r="M27" s="23"/>
      <c r="N27" s="108"/>
      <c r="O27" s="108"/>
      <c r="P27" s="108"/>
      <c r="Q27" s="23"/>
      <c r="R27" s="23"/>
      <c r="S27" s="23"/>
      <c r="T27" s="27"/>
      <c r="U27" s="27"/>
      <c r="V27" s="31"/>
    </row>
    <row r="28">
      <c r="B28" s="47"/>
      <c r="C28" s="40" t="s">
        <v>57</v>
      </c>
      <c r="D28" s="21">
        <f>D48</f>
        <v>115</v>
      </c>
      <c r="E28" s="41">
        <f t="shared" si="10"/>
        <v>115</v>
      </c>
      <c r="F28" s="42"/>
      <c r="G28" s="30">
        <v>5.0</v>
      </c>
      <c r="H28" s="23"/>
      <c r="I28" s="23"/>
      <c r="J28" s="23"/>
      <c r="K28" s="23"/>
      <c r="L28" s="23"/>
      <c r="M28" s="23"/>
      <c r="N28" s="108"/>
      <c r="O28" s="108"/>
      <c r="P28" s="108"/>
      <c r="Q28" s="23"/>
      <c r="R28" s="23"/>
      <c r="S28" s="23"/>
      <c r="T28" s="27"/>
      <c r="U28" s="27"/>
      <c r="V28" s="31"/>
    </row>
    <row r="29">
      <c r="B29" s="47"/>
      <c r="C29" s="40" t="s">
        <v>59</v>
      </c>
      <c r="D29" s="48">
        <f>'DEFAULT CLUBS-COMMON'!D29</f>
        <v>35</v>
      </c>
      <c r="E29" s="41">
        <f t="shared" si="10"/>
        <v>35</v>
      </c>
      <c r="F29" s="49"/>
      <c r="G29" s="50"/>
      <c r="H29" s="23"/>
      <c r="I29" s="23"/>
      <c r="J29" s="23"/>
      <c r="K29" s="23"/>
      <c r="L29" s="23"/>
      <c r="M29" s="23"/>
      <c r="N29" s="108"/>
      <c r="O29" s="108"/>
      <c r="P29" s="108"/>
      <c r="Q29" s="23"/>
      <c r="R29" s="23"/>
      <c r="S29" s="23"/>
      <c r="T29" s="27"/>
      <c r="U29" s="27"/>
      <c r="V29" s="31"/>
    </row>
    <row r="30">
      <c r="B30" s="47"/>
      <c r="C30" s="40" t="s">
        <v>61</v>
      </c>
      <c r="D30" s="59">
        <f>D40</f>
        <v>158</v>
      </c>
      <c r="E30" s="41">
        <f t="shared" si="10"/>
        <v>158</v>
      </c>
      <c r="F30" s="42"/>
      <c r="G30" s="22"/>
      <c r="H30" s="23"/>
      <c r="I30" s="23"/>
      <c r="J30" s="23"/>
      <c r="K30" s="23"/>
      <c r="L30" s="23"/>
      <c r="M30" s="23"/>
      <c r="N30" s="108"/>
      <c r="O30" s="108"/>
      <c r="P30" s="108"/>
      <c r="Q30" s="23"/>
      <c r="R30" s="23"/>
      <c r="S30" s="23"/>
      <c r="T30" s="27"/>
      <c r="U30" s="27"/>
      <c r="V30" s="31"/>
    </row>
    <row r="31">
      <c r="B31" s="51"/>
      <c r="C31" s="52" t="s">
        <v>62</v>
      </c>
      <c r="D31" s="60">
        <f>D21</f>
        <v>350</v>
      </c>
      <c r="E31" s="54">
        <f t="shared" si="10"/>
        <v>350</v>
      </c>
      <c r="F31" s="61"/>
      <c r="G31" s="55"/>
      <c r="H31" s="56"/>
      <c r="I31" s="56"/>
      <c r="J31" s="56"/>
      <c r="K31" s="56"/>
      <c r="L31" s="56"/>
      <c r="M31" s="56"/>
      <c r="N31" s="110"/>
      <c r="O31" s="110"/>
      <c r="P31" s="110"/>
      <c r="Q31" s="56"/>
      <c r="R31" s="56"/>
      <c r="S31" s="56"/>
      <c r="T31" s="57"/>
      <c r="U31" s="57"/>
      <c r="V31" s="58"/>
    </row>
    <row r="32">
      <c r="B32" s="64"/>
      <c r="C32" s="65"/>
      <c r="D32" s="66"/>
      <c r="E32" s="66"/>
      <c r="F32" s="12"/>
      <c r="G32" s="13"/>
      <c r="H32" s="68" t="s">
        <v>27</v>
      </c>
      <c r="I32" s="14"/>
      <c r="J32" s="68"/>
      <c r="K32" s="68" t="s">
        <v>28</v>
      </c>
      <c r="L32" s="69">
        <f>RANDBETWEEN(0,3)</f>
        <v>3</v>
      </c>
      <c r="M32" s="68" t="s">
        <v>29</v>
      </c>
      <c r="N32" s="70">
        <v>1.0</v>
      </c>
      <c r="O32" s="68"/>
      <c r="P32" s="68"/>
      <c r="Q32" s="68"/>
      <c r="R32" s="68"/>
      <c r="S32" s="16"/>
      <c r="T32" s="17"/>
      <c r="U32" s="17"/>
      <c r="V32" s="18"/>
    </row>
    <row r="33">
      <c r="B33" s="71"/>
      <c r="C33" s="72"/>
      <c r="D33" s="73"/>
      <c r="E33" s="73"/>
      <c r="F33" s="21"/>
      <c r="G33" s="22"/>
      <c r="H33" s="75"/>
      <c r="I33" s="23"/>
      <c r="J33" s="75"/>
      <c r="K33" s="75"/>
      <c r="L33" s="76" t="s">
        <v>33</v>
      </c>
      <c r="M33" s="76" t="s">
        <v>33</v>
      </c>
      <c r="N33" s="75"/>
      <c r="O33" s="75"/>
      <c r="P33" s="75"/>
      <c r="Q33" s="75"/>
      <c r="R33" s="75"/>
      <c r="S33" s="25"/>
      <c r="T33" s="26"/>
      <c r="U33" s="27" t="s">
        <v>34</v>
      </c>
      <c r="V33" s="28"/>
    </row>
    <row r="34">
      <c r="B34" s="71"/>
      <c r="C34" s="72"/>
      <c r="D34" s="73"/>
      <c r="E34" s="73"/>
      <c r="F34" s="29" t="s">
        <v>31</v>
      </c>
      <c r="G34" s="22"/>
      <c r="H34" s="75"/>
      <c r="I34" s="23"/>
      <c r="J34" s="75"/>
      <c r="K34" s="75"/>
      <c r="L34" s="78">
        <f>VLOOKUP(L33,RECOVERY!$AA$8:$AP$10,5,FALSE)</f>
        <v>1.4</v>
      </c>
      <c r="M34" s="78">
        <f>VLOOKUP(M33,RECOVERY!$AA$27:$AP$29,5,FALSE)</f>
        <v>0.65</v>
      </c>
      <c r="N34" s="78">
        <v>-1.5</v>
      </c>
      <c r="O34" s="78">
        <v>0.0</v>
      </c>
      <c r="P34" s="78">
        <v>1.5</v>
      </c>
      <c r="Q34" s="75"/>
      <c r="R34" s="78" t="s">
        <v>35</v>
      </c>
      <c r="S34" s="25"/>
      <c r="T34" s="27">
        <v>0.1</v>
      </c>
      <c r="U34" s="27">
        <v>1.33</v>
      </c>
      <c r="V34" s="31">
        <v>-1.23</v>
      </c>
    </row>
    <row r="35">
      <c r="B35" s="79" t="s">
        <v>11</v>
      </c>
      <c r="C35" s="80"/>
      <c r="D35" s="81" t="s">
        <v>36</v>
      </c>
      <c r="E35" s="82" t="s">
        <v>37</v>
      </c>
      <c r="F35" s="29" t="str">
        <f>SUM(F36:F41)&amp;"/325"</f>
        <v>0/325</v>
      </c>
      <c r="G35" s="30" t="s">
        <v>38</v>
      </c>
      <c r="H35" s="83" t="s">
        <v>39</v>
      </c>
      <c r="I35" s="36" t="s">
        <v>40</v>
      </c>
      <c r="J35" s="83" t="s">
        <v>41</v>
      </c>
      <c r="K35" s="83" t="s">
        <v>42</v>
      </c>
      <c r="L35" s="83" t="s">
        <v>43</v>
      </c>
      <c r="M35" s="83" t="s">
        <v>44</v>
      </c>
      <c r="N35" s="83" t="s">
        <v>45</v>
      </c>
      <c r="O35" s="83" t="s">
        <v>46</v>
      </c>
      <c r="P35" s="83" t="s">
        <v>47</v>
      </c>
      <c r="Q35" s="84" t="s">
        <v>48</v>
      </c>
      <c r="R35" s="83" t="s">
        <v>70</v>
      </c>
      <c r="S35" s="30" t="s">
        <v>50</v>
      </c>
      <c r="T35" s="37" t="s">
        <v>51</v>
      </c>
      <c r="U35" s="37" t="s">
        <v>45</v>
      </c>
      <c r="V35" s="38" t="s">
        <v>47</v>
      </c>
    </row>
    <row r="36">
      <c r="B36" s="85" t="s">
        <v>15</v>
      </c>
      <c r="C36" s="86" t="s">
        <v>52</v>
      </c>
      <c r="D36" s="21">
        <f>D26-10</f>
        <v>270</v>
      </c>
      <c r="E36" s="87">
        <f t="shared" ref="E36:E41" si="13">D36+F36</f>
        <v>270</v>
      </c>
      <c r="F36" s="42"/>
      <c r="G36" s="30">
        <v>55.0</v>
      </c>
      <c r="H36" s="62">
        <f>$G$6+(E36/2)+$AD$6+(AB36/2)+$L$2</f>
        <v>223</v>
      </c>
      <c r="I36" s="30">
        <f>1-(E37/1000)</f>
        <v>0.595</v>
      </c>
      <c r="J36" s="88">
        <f>ROUND(POWER(E36/100,0.5),3)</f>
        <v>1.643</v>
      </c>
      <c r="K36" s="62">
        <f>(G38*J36*I36*N32)</f>
        <v>4.887925</v>
      </c>
      <c r="L36" s="62">
        <f>1+(L34-1)*(1-E40/500)</f>
        <v>1.2736</v>
      </c>
      <c r="M36" s="44">
        <f>M34+((1-M34)*0.5*E40/400)</f>
        <v>0.719125</v>
      </c>
      <c r="N36" s="62">
        <f>(E39+(Q36*N34))/1.3</f>
        <v>22.80384615</v>
      </c>
      <c r="O36" s="62">
        <f t="shared" ref="O36:P36" si="11">(D39+(P36*O34))/1.3</f>
        <v>26.92307692</v>
      </c>
      <c r="P36" s="62">
        <f t="shared" si="11"/>
        <v>31.04230769</v>
      </c>
      <c r="Q36" s="88">
        <f>3*(E38/100)</f>
        <v>3.57</v>
      </c>
      <c r="R36" s="62">
        <f>E38*1*(VLOOKUP(B36,SPIN!$M$27:$N$40,2,FALSE))</f>
        <v>5950</v>
      </c>
      <c r="S36" s="30">
        <f>E38*2*3.14/60</f>
        <v>12.45533333</v>
      </c>
      <c r="T36" s="45">
        <f t="shared" ref="T36:V36" si="12">$S36*T34*8</f>
        <v>9.964266667</v>
      </c>
      <c r="U36" s="45">
        <f t="shared" si="12"/>
        <v>132.5247467</v>
      </c>
      <c r="V36" s="46">
        <f t="shared" si="12"/>
        <v>-122.56048</v>
      </c>
    </row>
    <row r="37">
      <c r="B37" s="89"/>
      <c r="C37" s="86" t="s">
        <v>54</v>
      </c>
      <c r="D37" s="21">
        <f>D27</f>
        <v>405</v>
      </c>
      <c r="E37" s="87">
        <f t="shared" si="13"/>
        <v>405</v>
      </c>
      <c r="F37" s="42"/>
      <c r="G37" s="30" t="s">
        <v>55</v>
      </c>
      <c r="H37" s="75"/>
      <c r="I37" s="23"/>
      <c r="J37" s="75"/>
      <c r="K37" s="75"/>
      <c r="L37" s="75"/>
      <c r="M37" s="75"/>
      <c r="N37" s="75"/>
      <c r="O37" s="75"/>
      <c r="P37" s="75"/>
      <c r="Q37" s="75"/>
      <c r="R37" s="75"/>
      <c r="S37" s="23"/>
      <c r="T37" s="27"/>
      <c r="U37" s="27"/>
      <c r="V37" s="31"/>
    </row>
    <row r="38">
      <c r="B38" s="89"/>
      <c r="C38" s="86" t="s">
        <v>57</v>
      </c>
      <c r="D38" s="21">
        <f>D48+4</f>
        <v>119</v>
      </c>
      <c r="E38" s="87">
        <f t="shared" si="13"/>
        <v>119</v>
      </c>
      <c r="F38" s="42"/>
      <c r="G38" s="30">
        <v>5.0</v>
      </c>
      <c r="H38" s="75"/>
      <c r="I38" s="23"/>
      <c r="J38" s="75"/>
      <c r="K38" s="75"/>
      <c r="L38" s="75"/>
      <c r="M38" s="75"/>
      <c r="N38" s="75"/>
      <c r="O38" s="75"/>
      <c r="P38" s="75"/>
      <c r="Q38" s="75"/>
      <c r="R38" s="75"/>
      <c r="S38" s="23"/>
      <c r="T38" s="27"/>
      <c r="U38" s="27"/>
      <c r="V38" s="31"/>
    </row>
    <row r="39">
      <c r="B39" s="89"/>
      <c r="C39" s="86" t="s">
        <v>59</v>
      </c>
      <c r="D39" s="48">
        <f>'DEFAULT CLUBS-COMMON'!D39</f>
        <v>35</v>
      </c>
      <c r="E39" s="87">
        <f t="shared" si="13"/>
        <v>35</v>
      </c>
      <c r="F39" s="49"/>
      <c r="G39" s="50"/>
      <c r="H39" s="75"/>
      <c r="I39" s="23"/>
      <c r="J39" s="75"/>
      <c r="K39" s="75"/>
      <c r="L39" s="75"/>
      <c r="M39" s="75"/>
      <c r="N39" s="75"/>
      <c r="O39" s="75"/>
      <c r="P39" s="75"/>
      <c r="Q39" s="75"/>
      <c r="R39" s="75"/>
      <c r="S39" s="23"/>
      <c r="T39" s="27"/>
      <c r="U39" s="27"/>
      <c r="V39" s="31"/>
    </row>
    <row r="40">
      <c r="B40" s="89"/>
      <c r="C40" s="86" t="s">
        <v>61</v>
      </c>
      <c r="D40" s="59">
        <f>D50</f>
        <v>158</v>
      </c>
      <c r="E40" s="87">
        <f t="shared" si="13"/>
        <v>158</v>
      </c>
      <c r="F40" s="42"/>
      <c r="G40" s="22"/>
      <c r="H40" s="75"/>
      <c r="I40" s="23"/>
      <c r="J40" s="75"/>
      <c r="K40" s="75"/>
      <c r="L40" s="75"/>
      <c r="M40" s="75"/>
      <c r="N40" s="75"/>
      <c r="O40" s="75"/>
      <c r="P40" s="75"/>
      <c r="Q40" s="75"/>
      <c r="R40" s="75"/>
      <c r="S40" s="23"/>
      <c r="T40" s="27"/>
      <c r="U40" s="27"/>
      <c r="V40" s="31"/>
    </row>
    <row r="41">
      <c r="B41" s="90"/>
      <c r="C41" s="91" t="s">
        <v>62</v>
      </c>
      <c r="D41" s="60">
        <f>D31</f>
        <v>350</v>
      </c>
      <c r="E41" s="92">
        <f t="shared" si="13"/>
        <v>350</v>
      </c>
      <c r="F41" s="61"/>
      <c r="G41" s="55"/>
      <c r="H41" s="93"/>
      <c r="I41" s="56"/>
      <c r="J41" s="93"/>
      <c r="K41" s="93"/>
      <c r="L41" s="93"/>
      <c r="M41" s="93"/>
      <c r="N41" s="93"/>
      <c r="O41" s="93"/>
      <c r="P41" s="93"/>
      <c r="Q41" s="93"/>
      <c r="R41" s="93"/>
      <c r="S41" s="56"/>
      <c r="T41" s="57"/>
      <c r="U41" s="57"/>
      <c r="V41" s="58"/>
    </row>
    <row r="42">
      <c r="B42" s="64"/>
      <c r="C42" s="65"/>
      <c r="D42" s="66"/>
      <c r="E42" s="66"/>
      <c r="F42" s="12"/>
      <c r="G42" s="13"/>
      <c r="H42" s="68" t="s">
        <v>27</v>
      </c>
      <c r="I42" s="14"/>
      <c r="J42" s="68"/>
      <c r="K42" s="68" t="s">
        <v>28</v>
      </c>
      <c r="L42" s="69">
        <f>RANDBETWEEN(0,3)</f>
        <v>0</v>
      </c>
      <c r="M42" s="68" t="s">
        <v>29</v>
      </c>
      <c r="N42" s="70">
        <v>1.0</v>
      </c>
      <c r="O42" s="68"/>
      <c r="P42" s="68"/>
      <c r="Q42" s="68"/>
      <c r="R42" s="68"/>
      <c r="S42" s="16"/>
      <c r="T42" s="17"/>
      <c r="U42" s="17"/>
      <c r="V42" s="18"/>
    </row>
    <row r="43">
      <c r="B43" s="71"/>
      <c r="C43" s="72"/>
      <c r="D43" s="73"/>
      <c r="E43" s="73"/>
      <c r="F43" s="21"/>
      <c r="G43" s="22"/>
      <c r="H43" s="75"/>
      <c r="I43" s="23"/>
      <c r="J43" s="75"/>
      <c r="K43" s="75"/>
      <c r="L43" s="76" t="s">
        <v>33</v>
      </c>
      <c r="M43" s="76" t="s">
        <v>33</v>
      </c>
      <c r="N43" s="75"/>
      <c r="O43" s="75"/>
      <c r="P43" s="75"/>
      <c r="Q43" s="75"/>
      <c r="R43" s="75"/>
      <c r="S43" s="25"/>
      <c r="T43" s="26"/>
      <c r="U43" s="27" t="s">
        <v>34</v>
      </c>
      <c r="V43" s="28"/>
    </row>
    <row r="44">
      <c r="B44" s="71"/>
      <c r="C44" s="72"/>
      <c r="D44" s="73"/>
      <c r="E44" s="73"/>
      <c r="F44" s="29" t="s">
        <v>31</v>
      </c>
      <c r="G44" s="22"/>
      <c r="H44" s="75"/>
      <c r="I44" s="23"/>
      <c r="J44" s="75"/>
      <c r="K44" s="75"/>
      <c r="L44" s="78">
        <f>VLOOKUP(L43,RECOVERY!$AA$8:$AP$10,6,FALSE)</f>
        <v>1.3</v>
      </c>
      <c r="M44" s="78">
        <f>VLOOKUP(M43,RECOVERY!$AA$27:$AP$29,6,FALSE)</f>
        <v>0.65</v>
      </c>
      <c r="N44" s="78">
        <v>-1.5</v>
      </c>
      <c r="O44" s="78">
        <v>0.0</v>
      </c>
      <c r="P44" s="78">
        <v>1.5</v>
      </c>
      <c r="Q44" s="75"/>
      <c r="R44" s="78" t="s">
        <v>35</v>
      </c>
      <c r="S44" s="25"/>
      <c r="T44" s="27">
        <v>0.1</v>
      </c>
      <c r="U44" s="27">
        <v>1.33</v>
      </c>
      <c r="V44" s="31">
        <v>-1.23</v>
      </c>
    </row>
    <row r="45">
      <c r="B45" s="79" t="s">
        <v>11</v>
      </c>
      <c r="C45" s="80"/>
      <c r="D45" s="81" t="s">
        <v>36</v>
      </c>
      <c r="E45" s="82" t="s">
        <v>37</v>
      </c>
      <c r="F45" s="29" t="str">
        <f>SUM(F46:F51)&amp;"/325"</f>
        <v>0/325</v>
      </c>
      <c r="G45" s="30" t="s">
        <v>38</v>
      </c>
      <c r="H45" s="83" t="s">
        <v>39</v>
      </c>
      <c r="I45" s="36" t="s">
        <v>40</v>
      </c>
      <c r="J45" s="83" t="s">
        <v>41</v>
      </c>
      <c r="K45" s="83" t="s">
        <v>42</v>
      </c>
      <c r="L45" s="83" t="s">
        <v>43</v>
      </c>
      <c r="M45" s="83" t="s">
        <v>44</v>
      </c>
      <c r="N45" s="83" t="s">
        <v>45</v>
      </c>
      <c r="O45" s="83" t="s">
        <v>46</v>
      </c>
      <c r="P45" s="83" t="s">
        <v>47</v>
      </c>
      <c r="Q45" s="84" t="s">
        <v>48</v>
      </c>
      <c r="R45" s="83" t="s">
        <v>70</v>
      </c>
      <c r="S45" s="30" t="s">
        <v>50</v>
      </c>
      <c r="T45" s="37" t="s">
        <v>51</v>
      </c>
      <c r="U45" s="37" t="s">
        <v>45</v>
      </c>
      <c r="V45" s="38" t="s">
        <v>47</v>
      </c>
    </row>
    <row r="46">
      <c r="B46" s="85" t="s">
        <v>16</v>
      </c>
      <c r="C46" s="86" t="s">
        <v>52</v>
      </c>
      <c r="D46" s="21">
        <f>D36-10</f>
        <v>260</v>
      </c>
      <c r="E46" s="87">
        <f t="shared" ref="E46:E51" si="16">D46+F46</f>
        <v>260</v>
      </c>
      <c r="F46" s="42"/>
      <c r="G46" s="30">
        <v>55.0</v>
      </c>
      <c r="H46" s="62">
        <f>$G$6+(E46/2)+$AD$6+(AB46/2)+$L$2</f>
        <v>218</v>
      </c>
      <c r="I46" s="30">
        <f>1-(E47/1000)</f>
        <v>0.59</v>
      </c>
      <c r="J46" s="88">
        <f>ROUND(POWER(E46/100,0.5),3)</f>
        <v>1.612</v>
      </c>
      <c r="K46" s="62">
        <f>(G48*J46*I46*N42)</f>
        <v>4.7554</v>
      </c>
      <c r="L46" s="62">
        <f>1+(L44-1)*(1-E50/500)</f>
        <v>1.2052</v>
      </c>
      <c r="M46" s="44">
        <f>M44+((1-M44)*0.5*E50/400)</f>
        <v>0.719125</v>
      </c>
      <c r="N46" s="62">
        <f>(E49+(Q46*N44))/1.3</f>
        <v>22.94230769</v>
      </c>
      <c r="O46" s="62">
        <f t="shared" ref="O46:P46" si="14">(D49+(P46*O44))/1.3</f>
        <v>26.92307692</v>
      </c>
      <c r="P46" s="62">
        <f t="shared" si="14"/>
        <v>30.90384615</v>
      </c>
      <c r="Q46" s="88">
        <f>3*(E48/100)</f>
        <v>3.45</v>
      </c>
      <c r="R46" s="62">
        <f>E48*1*(VLOOKUP(B46,SPIN!$M$27:$N$40,2,FALSE))</f>
        <v>6900</v>
      </c>
      <c r="S46" s="30">
        <f>E48*2*3.14/60</f>
        <v>12.03666667</v>
      </c>
      <c r="T46" s="45">
        <f t="shared" ref="T46:V46" si="15">$S46*T44*8</f>
        <v>9.629333333</v>
      </c>
      <c r="U46" s="45">
        <f t="shared" si="15"/>
        <v>128.0701333</v>
      </c>
      <c r="V46" s="46">
        <f t="shared" si="15"/>
        <v>-118.4408</v>
      </c>
    </row>
    <row r="47">
      <c r="B47" s="89"/>
      <c r="C47" s="86" t="s">
        <v>54</v>
      </c>
      <c r="D47" s="21">
        <f>D37+5</f>
        <v>410</v>
      </c>
      <c r="E47" s="87">
        <f t="shared" si="16"/>
        <v>410</v>
      </c>
      <c r="F47" s="42"/>
      <c r="G47" s="30" t="s">
        <v>55</v>
      </c>
      <c r="H47" s="75"/>
      <c r="I47" s="23"/>
      <c r="J47" s="75"/>
      <c r="K47" s="75"/>
      <c r="L47" s="75"/>
      <c r="M47" s="75"/>
      <c r="N47" s="75"/>
      <c r="O47" s="75"/>
      <c r="P47" s="75"/>
      <c r="Q47" s="75"/>
      <c r="R47" s="75"/>
      <c r="S47" s="23"/>
      <c r="T47" s="27"/>
      <c r="U47" s="27"/>
      <c r="V47" s="31"/>
    </row>
    <row r="48">
      <c r="B48" s="89"/>
      <c r="C48" s="86" t="s">
        <v>57</v>
      </c>
      <c r="D48" s="21">
        <f>D58</f>
        <v>115</v>
      </c>
      <c r="E48" s="87">
        <f t="shared" si="16"/>
        <v>115</v>
      </c>
      <c r="F48" s="42"/>
      <c r="G48" s="30">
        <v>5.0</v>
      </c>
      <c r="H48" s="75"/>
      <c r="I48" s="23"/>
      <c r="J48" s="75"/>
      <c r="K48" s="75"/>
      <c r="L48" s="75"/>
      <c r="M48" s="75"/>
      <c r="N48" s="75"/>
      <c r="O48" s="75"/>
      <c r="P48" s="75"/>
      <c r="Q48" s="75"/>
      <c r="R48" s="75"/>
      <c r="S48" s="23"/>
      <c r="T48" s="27"/>
      <c r="U48" s="27"/>
      <c r="V48" s="31"/>
    </row>
    <row r="49">
      <c r="B49" s="89"/>
      <c r="C49" s="86" t="s">
        <v>59</v>
      </c>
      <c r="D49" s="48">
        <f>'DEFAULT CLUBS-COMMON'!D49</f>
        <v>35</v>
      </c>
      <c r="E49" s="87">
        <f t="shared" si="16"/>
        <v>35</v>
      </c>
      <c r="F49" s="49"/>
      <c r="G49" s="50"/>
      <c r="H49" s="75"/>
      <c r="I49" s="23"/>
      <c r="J49" s="75"/>
      <c r="K49" s="75"/>
      <c r="L49" s="75"/>
      <c r="M49" s="75"/>
      <c r="N49" s="75"/>
      <c r="O49" s="75"/>
      <c r="P49" s="75"/>
      <c r="Q49" s="75"/>
      <c r="R49" s="75"/>
      <c r="S49" s="23"/>
      <c r="T49" s="27"/>
      <c r="U49" s="27"/>
      <c r="V49" s="31"/>
    </row>
    <row r="50">
      <c r="B50" s="89"/>
      <c r="C50" s="86" t="s">
        <v>61</v>
      </c>
      <c r="D50" s="59">
        <f>D60-10</f>
        <v>158</v>
      </c>
      <c r="E50" s="87">
        <f t="shared" si="16"/>
        <v>158</v>
      </c>
      <c r="F50" s="42"/>
      <c r="G50" s="22"/>
      <c r="H50" s="75"/>
      <c r="I50" s="23"/>
      <c r="J50" s="75"/>
      <c r="K50" s="75"/>
      <c r="L50" s="75"/>
      <c r="M50" s="75"/>
      <c r="N50" s="75"/>
      <c r="O50" s="75"/>
      <c r="P50" s="75"/>
      <c r="Q50" s="75"/>
      <c r="R50" s="75"/>
      <c r="S50" s="23"/>
      <c r="T50" s="27"/>
      <c r="U50" s="27"/>
      <c r="V50" s="31"/>
    </row>
    <row r="51">
      <c r="B51" s="90"/>
      <c r="C51" s="91" t="s">
        <v>62</v>
      </c>
      <c r="D51" s="60">
        <f>D41</f>
        <v>350</v>
      </c>
      <c r="E51" s="92">
        <f t="shared" si="16"/>
        <v>350</v>
      </c>
      <c r="F51" s="61"/>
      <c r="G51" s="55"/>
      <c r="H51" s="93"/>
      <c r="I51" s="56"/>
      <c r="J51" s="93"/>
      <c r="K51" s="93"/>
      <c r="L51" s="93"/>
      <c r="M51" s="93"/>
      <c r="N51" s="93"/>
      <c r="O51" s="93"/>
      <c r="P51" s="93"/>
      <c r="Q51" s="93"/>
      <c r="R51" s="93"/>
      <c r="S51" s="56"/>
      <c r="T51" s="57"/>
      <c r="U51" s="57"/>
      <c r="V51" s="58"/>
    </row>
    <row r="52">
      <c r="B52" s="64"/>
      <c r="C52" s="65"/>
      <c r="D52" s="66"/>
      <c r="E52" s="66"/>
      <c r="F52" s="12"/>
      <c r="G52" s="13"/>
      <c r="H52" s="68" t="s">
        <v>27</v>
      </c>
      <c r="I52" s="14"/>
      <c r="J52" s="68"/>
      <c r="K52" s="68" t="s">
        <v>28</v>
      </c>
      <c r="L52" s="69">
        <f>RANDBETWEEN(0,3)</f>
        <v>1</v>
      </c>
      <c r="M52" s="68" t="s">
        <v>29</v>
      </c>
      <c r="N52" s="70">
        <v>1.0</v>
      </c>
      <c r="O52" s="68"/>
      <c r="P52" s="68"/>
      <c r="Q52" s="68"/>
      <c r="R52" s="68"/>
      <c r="S52" s="16"/>
      <c r="T52" s="17"/>
      <c r="U52" s="17"/>
      <c r="V52" s="18"/>
    </row>
    <row r="53">
      <c r="B53" s="71"/>
      <c r="C53" s="72"/>
      <c r="D53" s="73"/>
      <c r="E53" s="73"/>
      <c r="F53" s="21"/>
      <c r="G53" s="22"/>
      <c r="H53" s="75"/>
      <c r="I53" s="23"/>
      <c r="J53" s="75"/>
      <c r="K53" s="75"/>
      <c r="L53" s="76" t="s">
        <v>33</v>
      </c>
      <c r="M53" s="76" t="s">
        <v>33</v>
      </c>
      <c r="N53" s="75"/>
      <c r="O53" s="75"/>
      <c r="P53" s="75"/>
      <c r="Q53" s="75"/>
      <c r="R53" s="75"/>
      <c r="S53" s="25"/>
      <c r="T53" s="26"/>
      <c r="U53" s="27" t="s">
        <v>34</v>
      </c>
      <c r="V53" s="28"/>
    </row>
    <row r="54">
      <c r="B54" s="71"/>
      <c r="C54" s="72"/>
      <c r="D54" s="73"/>
      <c r="E54" s="73"/>
      <c r="F54" s="29" t="s">
        <v>31</v>
      </c>
      <c r="G54" s="22"/>
      <c r="H54" s="75"/>
      <c r="I54" s="23"/>
      <c r="J54" s="75"/>
      <c r="K54" s="75"/>
      <c r="L54" s="78">
        <f>VLOOKUP(L53,RECOVERY!$AA$8:$AP$10,7,FALSE)</f>
        <v>1.3</v>
      </c>
      <c r="M54" s="78">
        <f>VLOOKUP(M53,RECOVERY!$AA$27:$AP$29,7,FALSE)</f>
        <v>0.65</v>
      </c>
      <c r="N54" s="78">
        <v>-1.5</v>
      </c>
      <c r="O54" s="78">
        <v>0.0</v>
      </c>
      <c r="P54" s="78">
        <v>1.5</v>
      </c>
      <c r="Q54" s="75"/>
      <c r="R54" s="78" t="s">
        <v>35</v>
      </c>
      <c r="S54" s="25"/>
      <c r="T54" s="27">
        <v>0.1</v>
      </c>
      <c r="U54" s="27">
        <v>1.33</v>
      </c>
      <c r="V54" s="31">
        <v>-1.23</v>
      </c>
    </row>
    <row r="55">
      <c r="B55" s="79" t="s">
        <v>11</v>
      </c>
      <c r="C55" s="80"/>
      <c r="D55" s="81" t="s">
        <v>36</v>
      </c>
      <c r="E55" s="82" t="s">
        <v>37</v>
      </c>
      <c r="F55" s="29" t="str">
        <f>SUM(F56:F61)&amp;"/325"</f>
        <v>0/325</v>
      </c>
      <c r="G55" s="30" t="s">
        <v>38</v>
      </c>
      <c r="H55" s="83" t="s">
        <v>39</v>
      </c>
      <c r="I55" s="36" t="s">
        <v>40</v>
      </c>
      <c r="J55" s="83" t="s">
        <v>41</v>
      </c>
      <c r="K55" s="83" t="s">
        <v>42</v>
      </c>
      <c r="L55" s="83" t="s">
        <v>43</v>
      </c>
      <c r="M55" s="83" t="s">
        <v>44</v>
      </c>
      <c r="N55" s="83" t="s">
        <v>45</v>
      </c>
      <c r="O55" s="83" t="s">
        <v>46</v>
      </c>
      <c r="P55" s="83" t="s">
        <v>47</v>
      </c>
      <c r="Q55" s="84" t="s">
        <v>48</v>
      </c>
      <c r="R55" s="83" t="s">
        <v>70</v>
      </c>
      <c r="S55" s="30" t="s">
        <v>50</v>
      </c>
      <c r="T55" s="37" t="s">
        <v>51</v>
      </c>
      <c r="U55" s="37" t="s">
        <v>45</v>
      </c>
      <c r="V55" s="38" t="s">
        <v>47</v>
      </c>
    </row>
    <row r="56">
      <c r="B56" s="85" t="s">
        <v>17</v>
      </c>
      <c r="C56" s="86" t="s">
        <v>52</v>
      </c>
      <c r="D56" s="21">
        <f>D46-10</f>
        <v>250</v>
      </c>
      <c r="E56" s="87">
        <f t="shared" ref="E56:E61" si="19">D56+F56</f>
        <v>250</v>
      </c>
      <c r="F56" s="42"/>
      <c r="G56" s="30">
        <v>55.0</v>
      </c>
      <c r="H56" s="62">
        <f>$G$6+(E56/2)+$AD$6+(AB56/2)+$L$2</f>
        <v>213</v>
      </c>
      <c r="I56" s="30">
        <f>1-(E57/1000)</f>
        <v>0.59</v>
      </c>
      <c r="J56" s="88">
        <f>ROUND(POWER(E56/100,0.5),3)</f>
        <v>1.581</v>
      </c>
      <c r="K56" s="62">
        <f>(G58*J56*I56*N52)</f>
        <v>4.66395</v>
      </c>
      <c r="L56" s="62">
        <f>1+(L54-1)*(1-E60/500)</f>
        <v>1.1992</v>
      </c>
      <c r="M56" s="44">
        <f>M54+((1-M54)*0.5*E60/400)</f>
        <v>0.7235</v>
      </c>
      <c r="N56" s="62">
        <f>(E59+(Q56*N54))/1.3</f>
        <v>22.94230769</v>
      </c>
      <c r="O56" s="62">
        <f t="shared" ref="O56:P56" si="17">(D59+(P56*O54))/1.3</f>
        <v>26.92307692</v>
      </c>
      <c r="P56" s="62">
        <f t="shared" si="17"/>
        <v>30.90384615</v>
      </c>
      <c r="Q56" s="88">
        <f>3*(E58/100)</f>
        <v>3.45</v>
      </c>
      <c r="R56" s="62">
        <f>E58*1*(VLOOKUP(B56,SPIN!$M$27:$N$40,2,FALSE))</f>
        <v>6900</v>
      </c>
      <c r="S56" s="30">
        <f>E58*2*3.14/60</f>
        <v>12.03666667</v>
      </c>
      <c r="T56" s="45">
        <f t="shared" ref="T56:V56" si="18">$S56*T54*8</f>
        <v>9.629333333</v>
      </c>
      <c r="U56" s="45">
        <f t="shared" si="18"/>
        <v>128.0701333</v>
      </c>
      <c r="V56" s="46">
        <f t="shared" si="18"/>
        <v>-118.4408</v>
      </c>
    </row>
    <row r="57">
      <c r="B57" s="89"/>
      <c r="C57" s="86" t="s">
        <v>54</v>
      </c>
      <c r="D57" s="21">
        <f>D47</f>
        <v>410</v>
      </c>
      <c r="E57" s="87">
        <f t="shared" si="19"/>
        <v>410</v>
      </c>
      <c r="F57" s="42"/>
      <c r="G57" s="30" t="s">
        <v>55</v>
      </c>
      <c r="H57" s="75"/>
      <c r="I57" s="23"/>
      <c r="J57" s="75"/>
      <c r="K57" s="75"/>
      <c r="L57" s="75"/>
      <c r="M57" s="75"/>
      <c r="N57" s="75"/>
      <c r="O57" s="75"/>
      <c r="P57" s="75"/>
      <c r="Q57" s="75"/>
      <c r="R57" s="75"/>
      <c r="S57" s="23"/>
      <c r="T57" s="27"/>
      <c r="U57" s="27"/>
      <c r="V57" s="31"/>
    </row>
    <row r="58">
      <c r="B58" s="89"/>
      <c r="C58" s="86" t="s">
        <v>57</v>
      </c>
      <c r="D58" s="21">
        <f>D68-10</f>
        <v>115</v>
      </c>
      <c r="E58" s="87">
        <f t="shared" si="19"/>
        <v>115</v>
      </c>
      <c r="F58" s="42"/>
      <c r="G58" s="30">
        <v>5.0</v>
      </c>
      <c r="H58" s="75"/>
      <c r="I58" s="23"/>
      <c r="J58" s="75"/>
      <c r="K58" s="75"/>
      <c r="L58" s="75"/>
      <c r="M58" s="75"/>
      <c r="N58" s="75"/>
      <c r="O58" s="75"/>
      <c r="P58" s="75"/>
      <c r="Q58" s="75"/>
      <c r="R58" s="75"/>
      <c r="S58" s="23"/>
      <c r="T58" s="27"/>
      <c r="U58" s="27"/>
      <c r="V58" s="31"/>
    </row>
    <row r="59">
      <c r="B59" s="89"/>
      <c r="C59" s="86" t="s">
        <v>59</v>
      </c>
      <c r="D59" s="48">
        <f>'DEFAULT CLUBS-COMMON'!D59</f>
        <v>35</v>
      </c>
      <c r="E59" s="87">
        <f t="shared" si="19"/>
        <v>35</v>
      </c>
      <c r="F59" s="49"/>
      <c r="G59" s="50"/>
      <c r="H59" s="75"/>
      <c r="I59" s="23"/>
      <c r="J59" s="75"/>
      <c r="K59" s="75"/>
      <c r="L59" s="75"/>
      <c r="M59" s="75"/>
      <c r="N59" s="75"/>
      <c r="O59" s="75"/>
      <c r="P59" s="75"/>
      <c r="Q59" s="75"/>
      <c r="R59" s="75"/>
      <c r="S59" s="23"/>
      <c r="T59" s="27"/>
      <c r="U59" s="27"/>
      <c r="V59" s="31"/>
    </row>
    <row r="60">
      <c r="B60" s="89"/>
      <c r="C60" s="86" t="s">
        <v>61</v>
      </c>
      <c r="D60" s="59">
        <f>D70</f>
        <v>168</v>
      </c>
      <c r="E60" s="87">
        <f t="shared" si="19"/>
        <v>168</v>
      </c>
      <c r="F60" s="42"/>
      <c r="G60" s="22"/>
      <c r="H60" s="75"/>
      <c r="I60" s="23"/>
      <c r="J60" s="75"/>
      <c r="K60" s="75"/>
      <c r="L60" s="75"/>
      <c r="M60" s="75"/>
      <c r="N60" s="75"/>
      <c r="O60" s="75"/>
      <c r="P60" s="75"/>
      <c r="Q60" s="75"/>
      <c r="R60" s="75"/>
      <c r="S60" s="23"/>
      <c r="T60" s="27"/>
      <c r="U60" s="27"/>
      <c r="V60" s="31"/>
    </row>
    <row r="61">
      <c r="B61" s="90"/>
      <c r="C61" s="91" t="s">
        <v>62</v>
      </c>
      <c r="D61" s="60">
        <f>D51</f>
        <v>350</v>
      </c>
      <c r="E61" s="92">
        <f t="shared" si="19"/>
        <v>350</v>
      </c>
      <c r="F61" s="61"/>
      <c r="G61" s="55"/>
      <c r="H61" s="93"/>
      <c r="I61" s="56"/>
      <c r="J61" s="93"/>
      <c r="K61" s="93"/>
      <c r="L61" s="93"/>
      <c r="M61" s="93"/>
      <c r="N61" s="93"/>
      <c r="O61" s="93"/>
      <c r="P61" s="93"/>
      <c r="Q61" s="93"/>
      <c r="R61" s="93"/>
      <c r="S61" s="56"/>
      <c r="T61" s="57"/>
      <c r="U61" s="57"/>
      <c r="V61" s="58"/>
    </row>
    <row r="62">
      <c r="B62" s="64"/>
      <c r="C62" s="65"/>
      <c r="D62" s="66"/>
      <c r="E62" s="66"/>
      <c r="F62" s="12"/>
      <c r="G62" s="13"/>
      <c r="H62" s="68" t="s">
        <v>27</v>
      </c>
      <c r="I62" s="14"/>
      <c r="J62" s="68"/>
      <c r="K62" s="68" t="s">
        <v>28</v>
      </c>
      <c r="L62" s="69">
        <f>RANDBETWEEN(0,3)</f>
        <v>1</v>
      </c>
      <c r="M62" s="68" t="s">
        <v>29</v>
      </c>
      <c r="N62" s="70">
        <v>1.0</v>
      </c>
      <c r="O62" s="68"/>
      <c r="P62" s="68"/>
      <c r="Q62" s="68"/>
      <c r="R62" s="68"/>
      <c r="S62" s="16"/>
      <c r="T62" s="17"/>
      <c r="U62" s="17"/>
      <c r="V62" s="18"/>
    </row>
    <row r="63">
      <c r="B63" s="71"/>
      <c r="C63" s="72"/>
      <c r="D63" s="73"/>
      <c r="E63" s="73"/>
      <c r="F63" s="21"/>
      <c r="G63" s="22"/>
      <c r="H63" s="75"/>
      <c r="I63" s="23"/>
      <c r="J63" s="75"/>
      <c r="K63" s="75"/>
      <c r="L63" s="76" t="s">
        <v>33</v>
      </c>
      <c r="M63" s="76" t="s">
        <v>33</v>
      </c>
      <c r="N63" s="75"/>
      <c r="O63" s="75"/>
      <c r="P63" s="75"/>
      <c r="Q63" s="75"/>
      <c r="R63" s="75"/>
      <c r="S63" s="25"/>
      <c r="T63" s="26"/>
      <c r="U63" s="27" t="s">
        <v>34</v>
      </c>
      <c r="V63" s="28"/>
    </row>
    <row r="64">
      <c r="B64" s="71"/>
      <c r="C64" s="72"/>
      <c r="D64" s="73"/>
      <c r="E64" s="73"/>
      <c r="F64" s="29" t="s">
        <v>31</v>
      </c>
      <c r="G64" s="22"/>
      <c r="H64" s="75"/>
      <c r="I64" s="23"/>
      <c r="J64" s="75"/>
      <c r="K64" s="75"/>
      <c r="L64" s="78">
        <f>VLOOKUP(L63,RECOVERY!$AA$8:$AP$10,8,FALSE)</f>
        <v>1.25</v>
      </c>
      <c r="M64" s="78">
        <f>VLOOKUP(M63,RECOVERY!$AA$27:$AP$29,8,FALSE)</f>
        <v>0.75</v>
      </c>
      <c r="N64" s="78">
        <v>-1.5</v>
      </c>
      <c r="O64" s="78">
        <v>0.0</v>
      </c>
      <c r="P64" s="78">
        <v>1.5</v>
      </c>
      <c r="Q64" s="75"/>
      <c r="R64" s="78" t="s">
        <v>35</v>
      </c>
      <c r="S64" s="25"/>
      <c r="T64" s="27">
        <v>0.1</v>
      </c>
      <c r="U64" s="27">
        <v>1.33</v>
      </c>
      <c r="V64" s="31">
        <v>-1.23</v>
      </c>
    </row>
    <row r="65">
      <c r="B65" s="79" t="s">
        <v>11</v>
      </c>
      <c r="C65" s="80"/>
      <c r="D65" s="81" t="s">
        <v>36</v>
      </c>
      <c r="E65" s="82" t="s">
        <v>37</v>
      </c>
      <c r="F65" s="29" t="str">
        <f>SUM(F66:F71)&amp;"/325"</f>
        <v>0/325</v>
      </c>
      <c r="G65" s="30" t="s">
        <v>38</v>
      </c>
      <c r="H65" s="83" t="s">
        <v>39</v>
      </c>
      <c r="I65" s="36" t="s">
        <v>40</v>
      </c>
      <c r="J65" s="83" t="s">
        <v>41</v>
      </c>
      <c r="K65" s="83" t="s">
        <v>42</v>
      </c>
      <c r="L65" s="83" t="s">
        <v>43</v>
      </c>
      <c r="M65" s="83" t="s">
        <v>44</v>
      </c>
      <c r="N65" s="83" t="s">
        <v>45</v>
      </c>
      <c r="O65" s="83" t="s">
        <v>46</v>
      </c>
      <c r="P65" s="83" t="s">
        <v>47</v>
      </c>
      <c r="Q65" s="84" t="s">
        <v>48</v>
      </c>
      <c r="R65" s="83" t="s">
        <v>70</v>
      </c>
      <c r="S65" s="30" t="s">
        <v>50</v>
      </c>
      <c r="T65" s="37" t="s">
        <v>51</v>
      </c>
      <c r="U65" s="37" t="s">
        <v>45</v>
      </c>
      <c r="V65" s="38" t="s">
        <v>47</v>
      </c>
    </row>
    <row r="66">
      <c r="B66" s="85" t="s">
        <v>18</v>
      </c>
      <c r="C66" s="86" t="s">
        <v>52</v>
      </c>
      <c r="D66" s="21">
        <f>D56-10</f>
        <v>240</v>
      </c>
      <c r="E66" s="87">
        <f t="shared" ref="E66:E71" si="22">D66+F66</f>
        <v>240</v>
      </c>
      <c r="F66" s="42"/>
      <c r="G66" s="30">
        <v>55.0</v>
      </c>
      <c r="H66" s="62">
        <f>$G$6+(E66/2)+$AD$6+(AB66/2)+$L$2</f>
        <v>208</v>
      </c>
      <c r="I66" s="30">
        <f>1-(E67/1000)</f>
        <v>0.585</v>
      </c>
      <c r="J66" s="88">
        <f>ROUND(POWER(E66/100,0.5),3)</f>
        <v>1.549</v>
      </c>
      <c r="K66" s="62">
        <f>(G68*J66*I66*N62)</f>
        <v>4.530825</v>
      </c>
      <c r="L66" s="62">
        <f>1+(L64-1)*(1-E70/500)</f>
        <v>1.166</v>
      </c>
      <c r="M66" s="44">
        <f>M64+((1-M64)*0.5*E70/400)</f>
        <v>0.8025</v>
      </c>
      <c r="N66" s="62">
        <f>(E69+(Q66*N64))/1.3</f>
        <v>22.59615385</v>
      </c>
      <c r="O66" s="62">
        <f t="shared" ref="O66:P66" si="20">(D69+(P66*O64))/1.3</f>
        <v>26.92307692</v>
      </c>
      <c r="P66" s="62">
        <f t="shared" si="20"/>
        <v>31.25</v>
      </c>
      <c r="Q66" s="88">
        <f>3*(E68/100)</f>
        <v>3.75</v>
      </c>
      <c r="R66" s="62">
        <f>E68*1*(VLOOKUP(B66,SPIN!$M$27:$N$40,2,FALSE))</f>
        <v>8750</v>
      </c>
      <c r="S66" s="30">
        <f>E68*2*3.14/60</f>
        <v>13.08333333</v>
      </c>
      <c r="T66" s="45">
        <f t="shared" ref="T66:V66" si="21">$S66*T64*8</f>
        <v>10.46666667</v>
      </c>
      <c r="U66" s="45">
        <f t="shared" si="21"/>
        <v>139.2066667</v>
      </c>
      <c r="V66" s="46">
        <f t="shared" si="21"/>
        <v>-128.74</v>
      </c>
    </row>
    <row r="67">
      <c r="B67" s="89"/>
      <c r="C67" s="86" t="s">
        <v>54</v>
      </c>
      <c r="D67" s="21">
        <f>D57+5</f>
        <v>415</v>
      </c>
      <c r="E67" s="87">
        <f t="shared" si="22"/>
        <v>415</v>
      </c>
      <c r="F67" s="42"/>
      <c r="G67" s="30" t="s">
        <v>55</v>
      </c>
      <c r="H67" s="75"/>
      <c r="I67" s="23"/>
      <c r="J67" s="75"/>
      <c r="K67" s="75"/>
      <c r="L67" s="75"/>
      <c r="M67" s="75"/>
      <c r="N67" s="75"/>
      <c r="O67" s="75"/>
      <c r="P67" s="75"/>
      <c r="Q67" s="75"/>
      <c r="R67" s="75"/>
      <c r="S67" s="23"/>
      <c r="T67" s="27"/>
      <c r="U67" s="27"/>
      <c r="V67" s="31"/>
    </row>
    <row r="68">
      <c r="B68" s="89"/>
      <c r="C68" s="86" t="s">
        <v>57</v>
      </c>
      <c r="D68" s="21">
        <f>D78</f>
        <v>125</v>
      </c>
      <c r="E68" s="87">
        <f t="shared" si="22"/>
        <v>125</v>
      </c>
      <c r="F68" s="42"/>
      <c r="G68" s="30">
        <v>5.0</v>
      </c>
      <c r="H68" s="75"/>
      <c r="I68" s="23"/>
      <c r="J68" s="75"/>
      <c r="K68" s="75"/>
      <c r="L68" s="75"/>
      <c r="M68" s="75"/>
      <c r="N68" s="75"/>
      <c r="O68" s="75"/>
      <c r="P68" s="75"/>
      <c r="Q68" s="75"/>
      <c r="R68" s="75"/>
      <c r="S68" s="23"/>
      <c r="T68" s="27"/>
      <c r="U68" s="27"/>
      <c r="V68" s="31"/>
    </row>
    <row r="69">
      <c r="B69" s="89"/>
      <c r="C69" s="86" t="s">
        <v>59</v>
      </c>
      <c r="D69" s="48">
        <f>'DEFAULT CLUBS-COMMON'!D69</f>
        <v>35</v>
      </c>
      <c r="E69" s="87">
        <f t="shared" si="22"/>
        <v>35</v>
      </c>
      <c r="F69" s="49"/>
      <c r="G69" s="50"/>
      <c r="H69" s="75"/>
      <c r="I69" s="23"/>
      <c r="J69" s="75"/>
      <c r="K69" s="75"/>
      <c r="L69" s="75"/>
      <c r="M69" s="75"/>
      <c r="N69" s="75"/>
      <c r="O69" s="75"/>
      <c r="P69" s="75"/>
      <c r="Q69" s="75"/>
      <c r="R69" s="75"/>
      <c r="S69" s="23"/>
      <c r="T69" s="27"/>
      <c r="U69" s="27"/>
      <c r="V69" s="31"/>
    </row>
    <row r="70">
      <c r="B70" s="89"/>
      <c r="C70" s="86" t="s">
        <v>61</v>
      </c>
      <c r="D70" s="59">
        <f>D80</f>
        <v>168</v>
      </c>
      <c r="E70" s="87">
        <f t="shared" si="22"/>
        <v>168</v>
      </c>
      <c r="F70" s="42"/>
      <c r="G70" s="22"/>
      <c r="H70" s="75"/>
      <c r="I70" s="23"/>
      <c r="J70" s="75"/>
      <c r="K70" s="75"/>
      <c r="L70" s="75"/>
      <c r="M70" s="75"/>
      <c r="N70" s="75"/>
      <c r="O70" s="75"/>
      <c r="P70" s="75"/>
      <c r="Q70" s="75"/>
      <c r="R70" s="75"/>
      <c r="S70" s="23"/>
      <c r="T70" s="27"/>
      <c r="U70" s="27"/>
      <c r="V70" s="31"/>
    </row>
    <row r="71">
      <c r="B71" s="95"/>
      <c r="C71" s="91" t="s">
        <v>62</v>
      </c>
      <c r="D71" s="60">
        <f>D61</f>
        <v>350</v>
      </c>
      <c r="E71" s="92">
        <f t="shared" si="22"/>
        <v>350</v>
      </c>
      <c r="F71" s="61"/>
      <c r="G71" s="55"/>
      <c r="H71" s="93"/>
      <c r="I71" s="56"/>
      <c r="J71" s="93"/>
      <c r="K71" s="93"/>
      <c r="L71" s="93"/>
      <c r="M71" s="93"/>
      <c r="N71" s="93"/>
      <c r="O71" s="93"/>
      <c r="P71" s="93"/>
      <c r="Q71" s="93"/>
      <c r="R71" s="93"/>
      <c r="S71" s="56"/>
      <c r="T71" s="57"/>
      <c r="U71" s="57"/>
      <c r="V71" s="58"/>
    </row>
    <row r="72">
      <c r="B72" s="64"/>
      <c r="C72" s="65"/>
      <c r="D72" s="66"/>
      <c r="E72" s="66"/>
      <c r="F72" s="12"/>
      <c r="G72" s="13"/>
      <c r="H72" s="68" t="s">
        <v>27</v>
      </c>
      <c r="I72" s="14"/>
      <c r="J72" s="68"/>
      <c r="K72" s="68" t="s">
        <v>28</v>
      </c>
      <c r="L72" s="69">
        <f>RANDBETWEEN(0,3)</f>
        <v>3</v>
      </c>
      <c r="M72" s="68" t="s">
        <v>29</v>
      </c>
      <c r="N72" s="70">
        <v>1.0</v>
      </c>
      <c r="O72" s="68"/>
      <c r="P72" s="68"/>
      <c r="Q72" s="68"/>
      <c r="R72" s="68"/>
      <c r="S72" s="16"/>
      <c r="T72" s="17"/>
      <c r="U72" s="17"/>
      <c r="V72" s="18"/>
    </row>
    <row r="73">
      <c r="B73" s="71"/>
      <c r="C73" s="72"/>
      <c r="D73" s="73"/>
      <c r="E73" s="73"/>
      <c r="F73" s="21"/>
      <c r="G73" s="22"/>
      <c r="H73" s="75"/>
      <c r="I73" s="23"/>
      <c r="J73" s="75"/>
      <c r="K73" s="75"/>
      <c r="L73" s="76" t="s">
        <v>33</v>
      </c>
      <c r="M73" s="76" t="s">
        <v>33</v>
      </c>
      <c r="N73" s="75"/>
      <c r="O73" s="75"/>
      <c r="P73" s="75"/>
      <c r="Q73" s="75"/>
      <c r="R73" s="75"/>
      <c r="S73" s="25"/>
      <c r="T73" s="26"/>
      <c r="U73" s="27" t="s">
        <v>34</v>
      </c>
      <c r="V73" s="28"/>
    </row>
    <row r="74">
      <c r="B74" s="71"/>
      <c r="C74" s="72"/>
      <c r="D74" s="73"/>
      <c r="E74" s="73"/>
      <c r="F74" s="29" t="s">
        <v>31</v>
      </c>
      <c r="G74" s="22"/>
      <c r="H74" s="75"/>
      <c r="I74" s="23"/>
      <c r="J74" s="75"/>
      <c r="K74" s="75"/>
      <c r="L74" s="78">
        <f>VLOOKUP(L73,RECOVERY!$AA$8:$AP$10,9,FALSE)</f>
        <v>1.25</v>
      </c>
      <c r="M74" s="78">
        <f>VLOOKUP(M73,RECOVERY!$AA$27:$AP$29,9,FALSE)</f>
        <v>0.75</v>
      </c>
      <c r="N74" s="78">
        <v>-1.5</v>
      </c>
      <c r="O74" s="78">
        <v>0.0</v>
      </c>
      <c r="P74" s="78">
        <v>1.5</v>
      </c>
      <c r="Q74" s="75"/>
      <c r="R74" s="78" t="s">
        <v>35</v>
      </c>
      <c r="S74" s="25"/>
      <c r="T74" s="27">
        <v>0.1</v>
      </c>
      <c r="U74" s="27">
        <v>1.33</v>
      </c>
      <c r="V74" s="31">
        <v>-1.23</v>
      </c>
    </row>
    <row r="75">
      <c r="B75" s="79" t="s">
        <v>11</v>
      </c>
      <c r="C75" s="80"/>
      <c r="D75" s="81" t="s">
        <v>36</v>
      </c>
      <c r="E75" s="82" t="s">
        <v>37</v>
      </c>
      <c r="F75" s="29" t="str">
        <f>SUM(F76:F81)&amp;"/325"</f>
        <v>0/325</v>
      </c>
      <c r="G75" s="30" t="s">
        <v>38</v>
      </c>
      <c r="H75" s="83" t="s">
        <v>39</v>
      </c>
      <c r="I75" s="36" t="s">
        <v>40</v>
      </c>
      <c r="J75" s="83" t="s">
        <v>41</v>
      </c>
      <c r="K75" s="83" t="s">
        <v>42</v>
      </c>
      <c r="L75" s="83" t="s">
        <v>43</v>
      </c>
      <c r="M75" s="83" t="s">
        <v>44</v>
      </c>
      <c r="N75" s="83" t="s">
        <v>45</v>
      </c>
      <c r="O75" s="83" t="s">
        <v>46</v>
      </c>
      <c r="P75" s="83" t="s">
        <v>47</v>
      </c>
      <c r="Q75" s="84" t="s">
        <v>48</v>
      </c>
      <c r="R75" s="83" t="s">
        <v>70</v>
      </c>
      <c r="S75" s="30" t="s">
        <v>50</v>
      </c>
      <c r="T75" s="37" t="s">
        <v>51</v>
      </c>
      <c r="U75" s="37" t="s">
        <v>45</v>
      </c>
      <c r="V75" s="38" t="s">
        <v>47</v>
      </c>
    </row>
    <row r="76">
      <c r="B76" s="85" t="s">
        <v>19</v>
      </c>
      <c r="C76" s="86" t="s">
        <v>52</v>
      </c>
      <c r="D76" s="21">
        <f>D66-10</f>
        <v>230</v>
      </c>
      <c r="E76" s="87">
        <f t="shared" ref="E76:E81" si="25">D76+F76</f>
        <v>230</v>
      </c>
      <c r="F76" s="42"/>
      <c r="G76" s="30">
        <v>55.0</v>
      </c>
      <c r="H76" s="62">
        <f>$G$6+(E76/2)+$AD$6+(AB76/2)+$L$2</f>
        <v>203</v>
      </c>
      <c r="I76" s="30">
        <f>1-(E77/1000)</f>
        <v>0.585</v>
      </c>
      <c r="J76" s="88">
        <f>ROUND(POWER(E76/100,0.5),3)</f>
        <v>1.517</v>
      </c>
      <c r="K76" s="62">
        <f>(G78*J76*I76*N72)</f>
        <v>4.437225</v>
      </c>
      <c r="L76" s="62">
        <f>1+(L74-1)*(1-E80/500)</f>
        <v>1.166</v>
      </c>
      <c r="M76" s="44">
        <f>M74+((1-M74)*0.5*E80/400)</f>
        <v>0.8025</v>
      </c>
      <c r="N76" s="62">
        <f>(E79+(Q76*N74))/1.3</f>
        <v>22.59615385</v>
      </c>
      <c r="O76" s="62">
        <f t="shared" ref="O76:P76" si="23">(D79+(P76*O74))/1.3</f>
        <v>26.92307692</v>
      </c>
      <c r="P76" s="62">
        <f t="shared" si="23"/>
        <v>31.25</v>
      </c>
      <c r="Q76" s="88">
        <f>3*(E78/100)</f>
        <v>3.75</v>
      </c>
      <c r="R76" s="62">
        <f>E78*1*(VLOOKUP(B76,SPIN!$M$27:$N$40,2,FALSE))</f>
        <v>8750</v>
      </c>
      <c r="S76" s="30">
        <f>E78*2*3.14/60</f>
        <v>13.08333333</v>
      </c>
      <c r="T76" s="45">
        <f t="shared" ref="T76:V76" si="24">$S76*T74*8</f>
        <v>10.46666667</v>
      </c>
      <c r="U76" s="45">
        <f t="shared" si="24"/>
        <v>139.2066667</v>
      </c>
      <c r="V76" s="46">
        <f t="shared" si="24"/>
        <v>-128.74</v>
      </c>
    </row>
    <row r="77">
      <c r="B77" s="89"/>
      <c r="C77" s="86" t="s">
        <v>54</v>
      </c>
      <c r="D77" s="21">
        <f>D67</f>
        <v>415</v>
      </c>
      <c r="E77" s="87">
        <f t="shared" si="25"/>
        <v>415</v>
      </c>
      <c r="F77" s="42"/>
      <c r="G77" s="30" t="s">
        <v>55</v>
      </c>
      <c r="H77" s="75"/>
      <c r="I77" s="23"/>
      <c r="J77" s="75"/>
      <c r="K77" s="75"/>
      <c r="L77" s="75"/>
      <c r="M77" s="75"/>
      <c r="N77" s="75"/>
      <c r="O77" s="75"/>
      <c r="P77" s="75"/>
      <c r="Q77" s="75"/>
      <c r="R77" s="75"/>
      <c r="S77" s="23"/>
      <c r="T77" s="27"/>
      <c r="U77" s="27"/>
      <c r="V77" s="31"/>
    </row>
    <row r="78">
      <c r="B78" s="89"/>
      <c r="C78" s="86" t="s">
        <v>57</v>
      </c>
      <c r="D78" s="21">
        <f>D88</f>
        <v>125</v>
      </c>
      <c r="E78" s="87">
        <f t="shared" si="25"/>
        <v>125</v>
      </c>
      <c r="F78" s="42"/>
      <c r="G78" s="30">
        <v>5.0</v>
      </c>
      <c r="H78" s="75"/>
      <c r="I78" s="23"/>
      <c r="J78" s="75"/>
      <c r="K78" s="75"/>
      <c r="L78" s="75"/>
      <c r="M78" s="75"/>
      <c r="N78" s="75"/>
      <c r="O78" s="75"/>
      <c r="P78" s="75"/>
      <c r="Q78" s="75"/>
      <c r="R78" s="75"/>
      <c r="S78" s="23"/>
      <c r="T78" s="27"/>
      <c r="U78" s="27"/>
      <c r="V78" s="31"/>
    </row>
    <row r="79">
      <c r="B79" s="89"/>
      <c r="C79" s="86" t="s">
        <v>59</v>
      </c>
      <c r="D79" s="48">
        <f>'DEFAULT CLUBS-COMMON'!D79</f>
        <v>35</v>
      </c>
      <c r="E79" s="87">
        <f t="shared" si="25"/>
        <v>35</v>
      </c>
      <c r="F79" s="49"/>
      <c r="G79" s="50"/>
      <c r="H79" s="75"/>
      <c r="I79" s="23"/>
      <c r="J79" s="75"/>
      <c r="K79" s="75"/>
      <c r="L79" s="75"/>
      <c r="M79" s="75"/>
      <c r="N79" s="75"/>
      <c r="O79" s="75"/>
      <c r="P79" s="75"/>
      <c r="Q79" s="75"/>
      <c r="R79" s="75"/>
      <c r="S79" s="23"/>
      <c r="T79" s="27"/>
      <c r="U79" s="27"/>
      <c r="V79" s="31"/>
    </row>
    <row r="80">
      <c r="B80" s="89"/>
      <c r="C80" s="86" t="s">
        <v>61</v>
      </c>
      <c r="D80" s="59">
        <f>D90-12</f>
        <v>168</v>
      </c>
      <c r="E80" s="87">
        <f t="shared" si="25"/>
        <v>168</v>
      </c>
      <c r="F80" s="42"/>
      <c r="G80" s="22"/>
      <c r="H80" s="75"/>
      <c r="I80" s="23"/>
      <c r="J80" s="75"/>
      <c r="K80" s="75"/>
      <c r="L80" s="75"/>
      <c r="M80" s="75"/>
      <c r="N80" s="75"/>
      <c r="O80" s="75"/>
      <c r="P80" s="75"/>
      <c r="Q80" s="75"/>
      <c r="R80" s="75"/>
      <c r="S80" s="23"/>
      <c r="T80" s="27"/>
      <c r="U80" s="27"/>
      <c r="V80" s="31"/>
    </row>
    <row r="81">
      <c r="B81" s="90"/>
      <c r="C81" s="91" t="s">
        <v>62</v>
      </c>
      <c r="D81" s="60">
        <f>D71</f>
        <v>350</v>
      </c>
      <c r="E81" s="92">
        <f t="shared" si="25"/>
        <v>350</v>
      </c>
      <c r="F81" s="61"/>
      <c r="G81" s="55"/>
      <c r="H81" s="93"/>
      <c r="I81" s="56"/>
      <c r="J81" s="93"/>
      <c r="K81" s="93"/>
      <c r="L81" s="93"/>
      <c r="M81" s="93"/>
      <c r="N81" s="93"/>
      <c r="O81" s="93"/>
      <c r="P81" s="93"/>
      <c r="Q81" s="93"/>
      <c r="R81" s="93"/>
      <c r="S81" s="56"/>
      <c r="T81" s="57"/>
      <c r="U81" s="57"/>
      <c r="V81" s="58"/>
    </row>
    <row r="82">
      <c r="B82" s="64"/>
      <c r="C82" s="65"/>
      <c r="D82" s="66"/>
      <c r="E82" s="66"/>
      <c r="F82" s="12"/>
      <c r="G82" s="13"/>
      <c r="H82" s="68" t="s">
        <v>27</v>
      </c>
      <c r="I82" s="14"/>
      <c r="J82" s="68"/>
      <c r="K82" s="68" t="s">
        <v>28</v>
      </c>
      <c r="L82" s="69">
        <f>RANDBETWEEN(0,3)</f>
        <v>0</v>
      </c>
      <c r="M82" s="68" t="s">
        <v>29</v>
      </c>
      <c r="N82" s="70">
        <v>1.0</v>
      </c>
      <c r="O82" s="68"/>
      <c r="P82" s="68"/>
      <c r="Q82" s="68"/>
      <c r="R82" s="68"/>
      <c r="S82" s="16"/>
      <c r="T82" s="17"/>
      <c r="U82" s="17"/>
      <c r="V82" s="18"/>
    </row>
    <row r="83">
      <c r="B83" s="71"/>
      <c r="C83" s="72"/>
      <c r="D83" s="73"/>
      <c r="E83" s="73"/>
      <c r="F83" s="21"/>
      <c r="G83" s="22"/>
      <c r="H83" s="75"/>
      <c r="I83" s="23"/>
      <c r="J83" s="75"/>
      <c r="K83" s="75"/>
      <c r="L83" s="76" t="s">
        <v>33</v>
      </c>
      <c r="M83" s="76" t="s">
        <v>33</v>
      </c>
      <c r="N83" s="75"/>
      <c r="O83" s="75"/>
      <c r="P83" s="75"/>
      <c r="Q83" s="75"/>
      <c r="R83" s="75"/>
      <c r="S83" s="25"/>
      <c r="T83" s="26"/>
      <c r="U83" s="27" t="s">
        <v>34</v>
      </c>
      <c r="V83" s="28"/>
    </row>
    <row r="84">
      <c r="B84" s="71"/>
      <c r="C84" s="72"/>
      <c r="D84" s="73"/>
      <c r="E84" s="73"/>
      <c r="F84" s="29" t="s">
        <v>31</v>
      </c>
      <c r="G84" s="22"/>
      <c r="H84" s="75"/>
      <c r="I84" s="23"/>
      <c r="J84" s="75"/>
      <c r="K84" s="75"/>
      <c r="L84" s="78">
        <f>VLOOKUP(L83,RECOVERY!$AA$8:$AP$10,10,FALSE)</f>
        <v>1.25</v>
      </c>
      <c r="M84" s="78">
        <f>VLOOKUP(M83,RECOVERY!$AA$27:$AP$29,10,FALSE)</f>
        <v>0.75</v>
      </c>
      <c r="N84" s="78">
        <v>-1.5</v>
      </c>
      <c r="O84" s="78">
        <v>0.0</v>
      </c>
      <c r="P84" s="78">
        <v>1.5</v>
      </c>
      <c r="Q84" s="75"/>
      <c r="R84" s="78" t="s">
        <v>35</v>
      </c>
      <c r="S84" s="25"/>
      <c r="T84" s="27">
        <v>0.1</v>
      </c>
      <c r="U84" s="27">
        <v>1.33</v>
      </c>
      <c r="V84" s="31">
        <v>-1.23</v>
      </c>
    </row>
    <row r="85">
      <c r="B85" s="79" t="s">
        <v>11</v>
      </c>
      <c r="C85" s="80"/>
      <c r="D85" s="81" t="s">
        <v>36</v>
      </c>
      <c r="E85" s="82" t="s">
        <v>37</v>
      </c>
      <c r="F85" s="29" t="str">
        <f>SUM(F86:F91)&amp;"/325"</f>
        <v>0/325</v>
      </c>
      <c r="G85" s="30" t="s">
        <v>38</v>
      </c>
      <c r="H85" s="83" t="s">
        <v>39</v>
      </c>
      <c r="I85" s="36" t="s">
        <v>40</v>
      </c>
      <c r="J85" s="83" t="s">
        <v>41</v>
      </c>
      <c r="K85" s="83" t="s">
        <v>42</v>
      </c>
      <c r="L85" s="83" t="s">
        <v>43</v>
      </c>
      <c r="M85" s="83" t="s">
        <v>44</v>
      </c>
      <c r="N85" s="83" t="s">
        <v>45</v>
      </c>
      <c r="O85" s="83" t="s">
        <v>46</v>
      </c>
      <c r="P85" s="83" t="s">
        <v>47</v>
      </c>
      <c r="Q85" s="84" t="s">
        <v>48</v>
      </c>
      <c r="R85" s="83" t="s">
        <v>70</v>
      </c>
      <c r="S85" s="30" t="s">
        <v>50</v>
      </c>
      <c r="T85" s="37" t="s">
        <v>51</v>
      </c>
      <c r="U85" s="37" t="s">
        <v>45</v>
      </c>
      <c r="V85" s="38" t="s">
        <v>47</v>
      </c>
    </row>
    <row r="86">
      <c r="B86" s="85" t="s">
        <v>20</v>
      </c>
      <c r="C86" s="86" t="s">
        <v>52</v>
      </c>
      <c r="D86" s="21">
        <f>D76-10</f>
        <v>220</v>
      </c>
      <c r="E86" s="87">
        <f t="shared" ref="E86:E91" si="28">D86+F86</f>
        <v>220</v>
      </c>
      <c r="F86" s="42"/>
      <c r="G86" s="30">
        <v>55.0</v>
      </c>
      <c r="H86" s="62">
        <f>$G$6+(E86/2)+$AD$6+(AB86/2)+$L$2</f>
        <v>198</v>
      </c>
      <c r="I86" s="30">
        <f>1-(E87/1000)</f>
        <v>0.58</v>
      </c>
      <c r="J86" s="88">
        <f>ROUND(POWER(E86/100,0.5),3)</f>
        <v>1.483</v>
      </c>
      <c r="K86" s="62">
        <f>(G88*J86*I86*N82)</f>
        <v>4.3007</v>
      </c>
      <c r="L86" s="62">
        <f>1+(L84-1)*(1-E90/500)</f>
        <v>1.16</v>
      </c>
      <c r="M86" s="44">
        <f>M84+((1-M84)*0.5*E90/400)</f>
        <v>0.80625</v>
      </c>
      <c r="N86" s="62">
        <f>(E89+(Q86*N84))/1.3</f>
        <v>22.59615385</v>
      </c>
      <c r="O86" s="62">
        <f t="shared" ref="O86:P86" si="26">(D89+(P86*O84))/1.3</f>
        <v>26.92307692</v>
      </c>
      <c r="P86" s="62">
        <f t="shared" si="26"/>
        <v>31.25</v>
      </c>
      <c r="Q86" s="88">
        <f>3*(E88/100)</f>
        <v>3.75</v>
      </c>
      <c r="R86" s="62">
        <f>E88*1*(VLOOKUP(B86,SPIN!$M$27:$N$40,2,FALSE))</f>
        <v>8750</v>
      </c>
      <c r="S86" s="30">
        <f>E88*2*3.14/60</f>
        <v>13.08333333</v>
      </c>
      <c r="T86" s="45">
        <f t="shared" ref="T86:V86" si="27">$S86*T84*8</f>
        <v>10.46666667</v>
      </c>
      <c r="U86" s="45">
        <f t="shared" si="27"/>
        <v>139.2066667</v>
      </c>
      <c r="V86" s="46">
        <f t="shared" si="27"/>
        <v>-128.74</v>
      </c>
    </row>
    <row r="87">
      <c r="B87" s="89"/>
      <c r="C87" s="86" t="s">
        <v>54</v>
      </c>
      <c r="D87" s="21">
        <f>D77+5</f>
        <v>420</v>
      </c>
      <c r="E87" s="87">
        <f t="shared" si="28"/>
        <v>420</v>
      </c>
      <c r="F87" s="42"/>
      <c r="G87" s="30" t="s">
        <v>55</v>
      </c>
      <c r="H87" s="75"/>
      <c r="I87" s="23"/>
      <c r="J87" s="75"/>
      <c r="K87" s="75"/>
      <c r="L87" s="75"/>
      <c r="M87" s="75"/>
      <c r="N87" s="75"/>
      <c r="O87" s="75"/>
      <c r="P87" s="75"/>
      <c r="Q87" s="75"/>
      <c r="R87" s="75"/>
      <c r="S87" s="23"/>
      <c r="T87" s="27"/>
      <c r="U87" s="27"/>
      <c r="V87" s="31"/>
    </row>
    <row r="88">
      <c r="B88" s="89"/>
      <c r="C88" s="86" t="s">
        <v>57</v>
      </c>
      <c r="D88" s="21">
        <f>D98-5</f>
        <v>125</v>
      </c>
      <c r="E88" s="87">
        <f t="shared" si="28"/>
        <v>125</v>
      </c>
      <c r="F88" s="42"/>
      <c r="G88" s="30">
        <v>5.0</v>
      </c>
      <c r="H88" s="75"/>
      <c r="I88" s="23"/>
      <c r="J88" s="75"/>
      <c r="K88" s="75"/>
      <c r="L88" s="75"/>
      <c r="M88" s="75"/>
      <c r="N88" s="75"/>
      <c r="O88" s="75"/>
      <c r="P88" s="75"/>
      <c r="Q88" s="75"/>
      <c r="R88" s="75"/>
      <c r="S88" s="23"/>
      <c r="T88" s="27"/>
      <c r="U88" s="27"/>
      <c r="V88" s="31"/>
    </row>
    <row r="89">
      <c r="B89" s="89"/>
      <c r="C89" s="86" t="s">
        <v>59</v>
      </c>
      <c r="D89" s="48">
        <f>'DEFAULT CLUBS-COMMON'!D89</f>
        <v>35</v>
      </c>
      <c r="E89" s="87">
        <f t="shared" si="28"/>
        <v>35</v>
      </c>
      <c r="F89" s="49"/>
      <c r="G89" s="50"/>
      <c r="H89" s="75"/>
      <c r="I89" s="23"/>
      <c r="J89" s="75"/>
      <c r="K89" s="75"/>
      <c r="L89" s="75"/>
      <c r="M89" s="75"/>
      <c r="N89" s="75"/>
      <c r="O89" s="75"/>
      <c r="P89" s="75"/>
      <c r="Q89" s="75"/>
      <c r="R89" s="75"/>
      <c r="S89" s="23"/>
      <c r="T89" s="27"/>
      <c r="U89" s="27"/>
      <c r="V89" s="31"/>
    </row>
    <row r="90">
      <c r="B90" s="89"/>
      <c r="C90" s="86" t="s">
        <v>61</v>
      </c>
      <c r="D90" s="59">
        <f>D100</f>
        <v>180</v>
      </c>
      <c r="E90" s="87">
        <f t="shared" si="28"/>
        <v>180</v>
      </c>
      <c r="F90" s="42"/>
      <c r="G90" s="22"/>
      <c r="H90" s="75"/>
      <c r="I90" s="23"/>
      <c r="J90" s="75"/>
      <c r="K90" s="75"/>
      <c r="L90" s="75"/>
      <c r="M90" s="75"/>
      <c r="N90" s="75"/>
      <c r="O90" s="75"/>
      <c r="P90" s="75"/>
      <c r="Q90" s="75"/>
      <c r="R90" s="75"/>
      <c r="S90" s="23"/>
      <c r="T90" s="27"/>
      <c r="U90" s="27"/>
      <c r="V90" s="31"/>
    </row>
    <row r="91">
      <c r="B91" s="90"/>
      <c r="C91" s="91" t="s">
        <v>62</v>
      </c>
      <c r="D91" s="60">
        <v>100.0</v>
      </c>
      <c r="E91" s="92">
        <f t="shared" si="28"/>
        <v>100</v>
      </c>
      <c r="F91" s="61"/>
      <c r="G91" s="55"/>
      <c r="H91" s="93"/>
      <c r="I91" s="56"/>
      <c r="J91" s="93"/>
      <c r="K91" s="93"/>
      <c r="L91" s="93"/>
      <c r="M91" s="93"/>
      <c r="N91" s="93"/>
      <c r="O91" s="93"/>
      <c r="P91" s="93"/>
      <c r="Q91" s="93"/>
      <c r="R91" s="93"/>
      <c r="S91" s="56"/>
      <c r="T91" s="57"/>
      <c r="U91" s="57"/>
      <c r="V91" s="58"/>
    </row>
    <row r="92">
      <c r="B92" s="64"/>
      <c r="C92" s="65"/>
      <c r="D92" s="66"/>
      <c r="E92" s="66"/>
      <c r="F92" s="12"/>
      <c r="G92" s="13"/>
      <c r="H92" s="68" t="s">
        <v>27</v>
      </c>
      <c r="I92" s="14"/>
      <c r="J92" s="68"/>
      <c r="K92" s="68" t="s">
        <v>28</v>
      </c>
      <c r="L92" s="69">
        <f>RANDBETWEEN(0,3)</f>
        <v>1</v>
      </c>
      <c r="M92" s="68" t="s">
        <v>29</v>
      </c>
      <c r="N92" s="70">
        <v>1.0</v>
      </c>
      <c r="O92" s="68"/>
      <c r="P92" s="68"/>
      <c r="Q92" s="68"/>
      <c r="R92" s="68"/>
      <c r="S92" s="16"/>
      <c r="T92" s="17"/>
      <c r="U92" s="17"/>
      <c r="V92" s="18"/>
    </row>
    <row r="93">
      <c r="B93" s="71"/>
      <c r="C93" s="72"/>
      <c r="D93" s="73"/>
      <c r="E93" s="73"/>
      <c r="F93" s="21"/>
      <c r="G93" s="22"/>
      <c r="H93" s="75"/>
      <c r="I93" s="23"/>
      <c r="J93" s="75"/>
      <c r="K93" s="75"/>
      <c r="L93" s="76" t="s">
        <v>33</v>
      </c>
      <c r="M93" s="76" t="s">
        <v>33</v>
      </c>
      <c r="N93" s="75"/>
      <c r="O93" s="75"/>
      <c r="P93" s="75"/>
      <c r="Q93" s="75"/>
      <c r="R93" s="75"/>
      <c r="S93" s="25"/>
      <c r="T93" s="26"/>
      <c r="U93" s="27" t="s">
        <v>34</v>
      </c>
      <c r="V93" s="28"/>
    </row>
    <row r="94">
      <c r="B94" s="71"/>
      <c r="C94" s="72"/>
      <c r="D94" s="73"/>
      <c r="E94" s="73"/>
      <c r="F94" s="29" t="s">
        <v>31</v>
      </c>
      <c r="G94" s="22"/>
      <c r="H94" s="75"/>
      <c r="I94" s="23"/>
      <c r="J94" s="75"/>
      <c r="K94" s="75"/>
      <c r="L94" s="78">
        <f>VLOOKUP(L93,RECOVERY!$AA$8:$AP$10,11,FALSE)</f>
        <v>1.2</v>
      </c>
      <c r="M94" s="78">
        <f>VLOOKUP(M93,RECOVERY!$AA$27:$AP$29,11,FALSE)</f>
        <v>0.75</v>
      </c>
      <c r="N94" s="78">
        <v>-1.5</v>
      </c>
      <c r="O94" s="78">
        <v>0.0</v>
      </c>
      <c r="P94" s="78">
        <v>1.5</v>
      </c>
      <c r="Q94" s="75"/>
      <c r="R94" s="78" t="s">
        <v>35</v>
      </c>
      <c r="S94" s="25"/>
      <c r="T94" s="27">
        <v>0.1</v>
      </c>
      <c r="U94" s="27">
        <v>1.33</v>
      </c>
      <c r="V94" s="31">
        <v>-1.23</v>
      </c>
    </row>
    <row r="95">
      <c r="B95" s="79" t="s">
        <v>11</v>
      </c>
      <c r="C95" s="80"/>
      <c r="D95" s="81" t="s">
        <v>36</v>
      </c>
      <c r="E95" s="82" t="s">
        <v>37</v>
      </c>
      <c r="F95" s="29" t="str">
        <f>SUM(F96:F101)&amp;"/325"</f>
        <v>0/325</v>
      </c>
      <c r="G95" s="30" t="s">
        <v>38</v>
      </c>
      <c r="H95" s="83" t="s">
        <v>39</v>
      </c>
      <c r="I95" s="36" t="s">
        <v>40</v>
      </c>
      <c r="J95" s="83" t="s">
        <v>41</v>
      </c>
      <c r="K95" s="83" t="s">
        <v>42</v>
      </c>
      <c r="L95" s="83" t="s">
        <v>43</v>
      </c>
      <c r="M95" s="83" t="s">
        <v>44</v>
      </c>
      <c r="N95" s="83" t="s">
        <v>45</v>
      </c>
      <c r="O95" s="83" t="s">
        <v>46</v>
      </c>
      <c r="P95" s="83" t="s">
        <v>47</v>
      </c>
      <c r="Q95" s="84" t="s">
        <v>48</v>
      </c>
      <c r="R95" s="83" t="s">
        <v>70</v>
      </c>
      <c r="S95" s="30" t="s">
        <v>50</v>
      </c>
      <c r="T95" s="37" t="s">
        <v>51</v>
      </c>
      <c r="U95" s="37" t="s">
        <v>45</v>
      </c>
      <c r="V95" s="38" t="s">
        <v>47</v>
      </c>
    </row>
    <row r="96">
      <c r="B96" s="85" t="s">
        <v>21</v>
      </c>
      <c r="C96" s="86" t="s">
        <v>52</v>
      </c>
      <c r="D96" s="21">
        <f>D86-10</f>
        <v>210</v>
      </c>
      <c r="E96" s="87">
        <f t="shared" ref="E96:E101" si="31">D96+F96</f>
        <v>210</v>
      </c>
      <c r="F96" s="42"/>
      <c r="G96" s="30">
        <v>55.0</v>
      </c>
      <c r="H96" s="62">
        <f>$G$6+(E96/2)+$AD$6+(AB96/2)+$L$2</f>
        <v>193</v>
      </c>
      <c r="I96" s="30">
        <f>1-(E97/1000)</f>
        <v>0.58</v>
      </c>
      <c r="J96" s="88">
        <f>ROUND(POWER(E96/100,0.5),3)</f>
        <v>1.449</v>
      </c>
      <c r="K96" s="62">
        <f>(G98*J96*I96*N92)</f>
        <v>4.2021</v>
      </c>
      <c r="L96" s="62">
        <f>1+(L94-1)*(1-E100/500)</f>
        <v>1.128</v>
      </c>
      <c r="M96" s="44">
        <f>M94+((1-M94)*0.5*E100/400)</f>
        <v>0.80625</v>
      </c>
      <c r="N96" s="62">
        <f>(E99+(Q96*N94))/1.3</f>
        <v>24.73076923</v>
      </c>
      <c r="O96" s="62">
        <f t="shared" ref="O96:P96" si="29">(D99+(P96*O94))/1.3</f>
        <v>29.23076923</v>
      </c>
      <c r="P96" s="62">
        <f t="shared" si="29"/>
        <v>33.73076923</v>
      </c>
      <c r="Q96" s="88">
        <f>3*(E98/100)</f>
        <v>3.9</v>
      </c>
      <c r="R96" s="62">
        <f>E98*1*(VLOOKUP(B96,SPIN!$M$27:$N$40,2,FALSE))</f>
        <v>10400</v>
      </c>
      <c r="S96" s="30">
        <f>E98*2*3.14/60</f>
        <v>13.60666667</v>
      </c>
      <c r="T96" s="45">
        <f t="shared" ref="T96:V96" si="30">$S96*T94*8</f>
        <v>10.88533333</v>
      </c>
      <c r="U96" s="45">
        <f t="shared" si="30"/>
        <v>144.7749333</v>
      </c>
      <c r="V96" s="46">
        <f t="shared" si="30"/>
        <v>-133.8896</v>
      </c>
    </row>
    <row r="97">
      <c r="B97" s="89"/>
      <c r="C97" s="86" t="s">
        <v>54</v>
      </c>
      <c r="D97" s="21">
        <f>D87</f>
        <v>420</v>
      </c>
      <c r="E97" s="87">
        <f t="shared" si="31"/>
        <v>420</v>
      </c>
      <c r="F97" s="42"/>
      <c r="G97" s="30" t="s">
        <v>55</v>
      </c>
      <c r="H97" s="75"/>
      <c r="I97" s="23"/>
      <c r="J97" s="75"/>
      <c r="K97" s="75"/>
      <c r="L97" s="75"/>
      <c r="M97" s="75"/>
      <c r="N97" s="75"/>
      <c r="O97" s="75"/>
      <c r="P97" s="75"/>
      <c r="Q97" s="75"/>
      <c r="R97" s="75"/>
      <c r="S97" s="23"/>
      <c r="T97" s="27"/>
      <c r="U97" s="27"/>
      <c r="V97" s="31"/>
    </row>
    <row r="98">
      <c r="B98" s="89"/>
      <c r="C98" s="86" t="s">
        <v>57</v>
      </c>
      <c r="D98" s="21">
        <f>D108</f>
        <v>130</v>
      </c>
      <c r="E98" s="87">
        <f t="shared" si="31"/>
        <v>130</v>
      </c>
      <c r="F98" s="42"/>
      <c r="G98" s="30">
        <v>5.0</v>
      </c>
      <c r="H98" s="75"/>
      <c r="I98" s="23"/>
      <c r="J98" s="75"/>
      <c r="K98" s="75"/>
      <c r="L98" s="75"/>
      <c r="M98" s="75"/>
      <c r="N98" s="75"/>
      <c r="O98" s="75"/>
      <c r="P98" s="75"/>
      <c r="Q98" s="75"/>
      <c r="R98" s="75"/>
      <c r="S98" s="23"/>
      <c r="T98" s="27"/>
      <c r="U98" s="27"/>
      <c r="V98" s="31"/>
    </row>
    <row r="99">
      <c r="B99" s="89"/>
      <c r="C99" s="86" t="s">
        <v>59</v>
      </c>
      <c r="D99" s="48">
        <f>'DEFAULT CLUBS-COMMON'!D99</f>
        <v>38</v>
      </c>
      <c r="E99" s="87">
        <f t="shared" si="31"/>
        <v>38</v>
      </c>
      <c r="F99" s="49"/>
      <c r="G99" s="50"/>
      <c r="H99" s="75"/>
      <c r="I99" s="23"/>
      <c r="J99" s="75"/>
      <c r="K99" s="75"/>
      <c r="L99" s="75"/>
      <c r="M99" s="75"/>
      <c r="N99" s="75"/>
      <c r="O99" s="75"/>
      <c r="P99" s="75"/>
      <c r="Q99" s="75"/>
      <c r="R99" s="75"/>
      <c r="S99" s="23"/>
      <c r="T99" s="27"/>
      <c r="U99" s="27"/>
      <c r="V99" s="31"/>
    </row>
    <row r="100">
      <c r="B100" s="89"/>
      <c r="C100" s="86" t="s">
        <v>61</v>
      </c>
      <c r="D100" s="59">
        <f>D110</f>
        <v>180</v>
      </c>
      <c r="E100" s="87">
        <f t="shared" si="31"/>
        <v>180</v>
      </c>
      <c r="F100" s="42"/>
      <c r="G100" s="22"/>
      <c r="H100" s="75"/>
      <c r="I100" s="23"/>
      <c r="J100" s="75"/>
      <c r="K100" s="75"/>
      <c r="L100" s="75"/>
      <c r="M100" s="75"/>
      <c r="N100" s="75"/>
      <c r="O100" s="75"/>
      <c r="P100" s="75"/>
      <c r="Q100" s="75"/>
      <c r="R100" s="75"/>
      <c r="S100" s="23"/>
      <c r="T100" s="27"/>
      <c r="U100" s="27"/>
      <c r="V100" s="31"/>
    </row>
    <row r="101">
      <c r="B101" s="90"/>
      <c r="C101" s="91" t="s">
        <v>62</v>
      </c>
      <c r="D101" s="60">
        <v>100.0</v>
      </c>
      <c r="E101" s="92">
        <f t="shared" si="31"/>
        <v>100</v>
      </c>
      <c r="F101" s="61"/>
      <c r="G101" s="55"/>
      <c r="H101" s="93"/>
      <c r="I101" s="56"/>
      <c r="J101" s="93"/>
      <c r="K101" s="93"/>
      <c r="L101" s="93"/>
      <c r="M101" s="93"/>
      <c r="N101" s="93"/>
      <c r="O101" s="93"/>
      <c r="P101" s="93"/>
      <c r="Q101" s="93"/>
      <c r="R101" s="93"/>
      <c r="S101" s="56"/>
      <c r="T101" s="57"/>
      <c r="U101" s="57"/>
      <c r="V101" s="58"/>
    </row>
    <row r="102">
      <c r="B102" s="64"/>
      <c r="C102" s="65"/>
      <c r="D102" s="66"/>
      <c r="E102" s="66"/>
      <c r="F102" s="12"/>
      <c r="G102" s="13"/>
      <c r="H102" s="68" t="s">
        <v>27</v>
      </c>
      <c r="I102" s="14"/>
      <c r="J102" s="68"/>
      <c r="K102" s="68" t="s">
        <v>28</v>
      </c>
      <c r="L102" s="69">
        <f>RANDBETWEEN(0,3)</f>
        <v>2</v>
      </c>
      <c r="M102" s="68" t="s">
        <v>29</v>
      </c>
      <c r="N102" s="70">
        <v>1.0</v>
      </c>
      <c r="O102" s="68"/>
      <c r="P102" s="68"/>
      <c r="Q102" s="68"/>
      <c r="R102" s="68"/>
      <c r="S102" s="16"/>
      <c r="T102" s="17"/>
      <c r="U102" s="17"/>
      <c r="V102" s="18"/>
    </row>
    <row r="103">
      <c r="B103" s="71"/>
      <c r="C103" s="72"/>
      <c r="D103" s="73"/>
      <c r="E103" s="73"/>
      <c r="F103" s="21"/>
      <c r="G103" s="22"/>
      <c r="H103" s="75"/>
      <c r="I103" s="23"/>
      <c r="J103" s="75"/>
      <c r="K103" s="75"/>
      <c r="L103" s="76" t="s">
        <v>33</v>
      </c>
      <c r="M103" s="76" t="s">
        <v>33</v>
      </c>
      <c r="N103" s="75"/>
      <c r="O103" s="75"/>
      <c r="P103" s="75"/>
      <c r="Q103" s="75"/>
      <c r="R103" s="75"/>
      <c r="S103" s="25"/>
      <c r="T103" s="26"/>
      <c r="U103" s="27" t="s">
        <v>34</v>
      </c>
      <c r="V103" s="28"/>
    </row>
    <row r="104">
      <c r="B104" s="71"/>
      <c r="C104" s="72"/>
      <c r="D104" s="73"/>
      <c r="E104" s="73"/>
      <c r="F104" s="29" t="s">
        <v>31</v>
      </c>
      <c r="G104" s="22"/>
      <c r="H104" s="75"/>
      <c r="I104" s="23"/>
      <c r="J104" s="75"/>
      <c r="K104" s="75"/>
      <c r="L104" s="78">
        <f>VLOOKUP(L103,RECOVERY!$AA$8:$AP$10,12,FALSE)</f>
        <v>1.2</v>
      </c>
      <c r="M104" s="78">
        <f>VLOOKUP(M103,RECOVERY!$AA$27:$AP$29,12,FALSE)</f>
        <v>0.75</v>
      </c>
      <c r="N104" s="78">
        <v>-1.5</v>
      </c>
      <c r="O104" s="78">
        <v>0.0</v>
      </c>
      <c r="P104" s="78">
        <v>1.5</v>
      </c>
      <c r="Q104" s="75"/>
      <c r="R104" s="78" t="s">
        <v>35</v>
      </c>
      <c r="S104" s="25"/>
      <c r="T104" s="27">
        <v>0.1</v>
      </c>
      <c r="U104" s="27">
        <v>1.33</v>
      </c>
      <c r="V104" s="31">
        <v>-1.23</v>
      </c>
    </row>
    <row r="105">
      <c r="B105" s="79" t="s">
        <v>11</v>
      </c>
      <c r="C105" s="80"/>
      <c r="D105" s="81" t="s">
        <v>36</v>
      </c>
      <c r="E105" s="82" t="s">
        <v>37</v>
      </c>
      <c r="F105" s="29" t="str">
        <f>SUM(F106:F111)&amp;"/325"</f>
        <v>0/325</v>
      </c>
      <c r="G105" s="30" t="s">
        <v>38</v>
      </c>
      <c r="H105" s="83" t="s">
        <v>39</v>
      </c>
      <c r="I105" s="36" t="s">
        <v>40</v>
      </c>
      <c r="J105" s="83" t="s">
        <v>41</v>
      </c>
      <c r="K105" s="83" t="s">
        <v>42</v>
      </c>
      <c r="L105" s="83" t="s">
        <v>43</v>
      </c>
      <c r="M105" s="83" t="s">
        <v>44</v>
      </c>
      <c r="N105" s="83" t="s">
        <v>45</v>
      </c>
      <c r="O105" s="83" t="s">
        <v>46</v>
      </c>
      <c r="P105" s="83" t="s">
        <v>47</v>
      </c>
      <c r="Q105" s="84" t="s">
        <v>48</v>
      </c>
      <c r="R105" s="83" t="s">
        <v>70</v>
      </c>
      <c r="S105" s="30" t="s">
        <v>50</v>
      </c>
      <c r="T105" s="37" t="s">
        <v>51</v>
      </c>
      <c r="U105" s="37" t="s">
        <v>45</v>
      </c>
      <c r="V105" s="38" t="s">
        <v>47</v>
      </c>
    </row>
    <row r="106">
      <c r="B106" s="85" t="s">
        <v>22</v>
      </c>
      <c r="C106" s="86" t="s">
        <v>52</v>
      </c>
      <c r="D106" s="21">
        <f>D96</f>
        <v>210</v>
      </c>
      <c r="E106" s="87">
        <f t="shared" ref="E106:E111" si="34">D106+F106</f>
        <v>210</v>
      </c>
      <c r="F106" s="42"/>
      <c r="G106" s="30">
        <v>55.0</v>
      </c>
      <c r="H106" s="62">
        <f>$G$6+(E106/2)+$AD$6+(AB106/2)+$L$2</f>
        <v>193</v>
      </c>
      <c r="I106" s="30">
        <f>1-(E107/1000)</f>
        <v>0.575</v>
      </c>
      <c r="J106" s="88">
        <f>ROUND(POWER(E106/100,0.5),3)</f>
        <v>1.449</v>
      </c>
      <c r="K106" s="62">
        <f>(G108*J106*I106*N102)</f>
        <v>4.165875</v>
      </c>
      <c r="L106" s="62">
        <f>1+(L104-1)*(1-E110/500)</f>
        <v>1.128</v>
      </c>
      <c r="M106" s="44">
        <f>M104+((1-M104)*0.5*E110/400)</f>
        <v>0.80625</v>
      </c>
      <c r="N106" s="62">
        <f>(E109+(Q106*N104))/1.3</f>
        <v>27.80769231</v>
      </c>
      <c r="O106" s="62">
        <f t="shared" ref="O106:P106" si="32">(D109+(P106*O104))/1.3</f>
        <v>32.30769231</v>
      </c>
      <c r="P106" s="62">
        <f t="shared" si="32"/>
        <v>36.80769231</v>
      </c>
      <c r="Q106" s="88">
        <f>3*(E108/100)</f>
        <v>3.9</v>
      </c>
      <c r="R106" s="62">
        <f>E108*1*(VLOOKUP(B106,SPIN!$M$27:$N$40,2,FALSE))</f>
        <v>10400</v>
      </c>
      <c r="S106" s="30">
        <f>E108*2*3.14/60</f>
        <v>13.60666667</v>
      </c>
      <c r="T106" s="45">
        <f t="shared" ref="T106:V106" si="33">$S106*T104*8</f>
        <v>10.88533333</v>
      </c>
      <c r="U106" s="45">
        <f t="shared" si="33"/>
        <v>144.7749333</v>
      </c>
      <c r="V106" s="46">
        <f t="shared" si="33"/>
        <v>-133.8896</v>
      </c>
    </row>
    <row r="107">
      <c r="B107" s="89"/>
      <c r="C107" s="86" t="s">
        <v>54</v>
      </c>
      <c r="D107" s="21">
        <f>D97+5</f>
        <v>425</v>
      </c>
      <c r="E107" s="87">
        <f t="shared" si="34"/>
        <v>425</v>
      </c>
      <c r="F107" s="42"/>
      <c r="G107" s="30" t="s">
        <v>55</v>
      </c>
      <c r="H107" s="75"/>
      <c r="I107" s="23"/>
      <c r="J107" s="75"/>
      <c r="K107" s="75"/>
      <c r="L107" s="75"/>
      <c r="M107" s="75"/>
      <c r="N107" s="75"/>
      <c r="O107" s="75"/>
      <c r="P107" s="75"/>
      <c r="Q107" s="75"/>
      <c r="R107" s="75"/>
      <c r="S107" s="23"/>
      <c r="T107" s="27"/>
      <c r="U107" s="27"/>
      <c r="V107" s="31"/>
    </row>
    <row r="108">
      <c r="B108" s="89"/>
      <c r="C108" s="86" t="s">
        <v>57</v>
      </c>
      <c r="D108" s="21">
        <f>D118-10</f>
        <v>130</v>
      </c>
      <c r="E108" s="87">
        <f t="shared" si="34"/>
        <v>130</v>
      </c>
      <c r="F108" s="42"/>
      <c r="G108" s="30">
        <v>5.0</v>
      </c>
      <c r="H108" s="75"/>
      <c r="I108" s="23"/>
      <c r="J108" s="75"/>
      <c r="K108" s="75"/>
      <c r="L108" s="75"/>
      <c r="M108" s="75"/>
      <c r="N108" s="75"/>
      <c r="O108" s="75"/>
      <c r="P108" s="75"/>
      <c r="Q108" s="75"/>
      <c r="R108" s="75"/>
      <c r="S108" s="23"/>
      <c r="T108" s="27"/>
      <c r="U108" s="27"/>
      <c r="V108" s="31"/>
    </row>
    <row r="109">
      <c r="B109" s="89"/>
      <c r="C109" s="86" t="s">
        <v>59</v>
      </c>
      <c r="D109" s="48">
        <f>'DEFAULT CLUBS-COMMON'!D109</f>
        <v>42</v>
      </c>
      <c r="E109" s="87">
        <f t="shared" si="34"/>
        <v>42</v>
      </c>
      <c r="F109" s="49"/>
      <c r="G109" s="50"/>
      <c r="H109" s="75"/>
      <c r="I109" s="23"/>
      <c r="J109" s="75"/>
      <c r="K109" s="75"/>
      <c r="L109" s="75"/>
      <c r="M109" s="75"/>
      <c r="N109" s="75"/>
      <c r="O109" s="75"/>
      <c r="P109" s="75"/>
      <c r="Q109" s="75"/>
      <c r="R109" s="75"/>
      <c r="S109" s="23"/>
      <c r="T109" s="27"/>
      <c r="U109" s="27"/>
      <c r="V109" s="31"/>
    </row>
    <row r="110">
      <c r="B110" s="89"/>
      <c r="C110" s="86" t="s">
        <v>61</v>
      </c>
      <c r="D110" s="59">
        <f>D120-20</f>
        <v>180</v>
      </c>
      <c r="E110" s="87">
        <f t="shared" si="34"/>
        <v>180</v>
      </c>
      <c r="F110" s="42"/>
      <c r="G110" s="22"/>
      <c r="H110" s="75"/>
      <c r="I110" s="23"/>
      <c r="J110" s="75"/>
      <c r="K110" s="75"/>
      <c r="L110" s="75"/>
      <c r="M110" s="75"/>
      <c r="N110" s="75"/>
      <c r="O110" s="75"/>
      <c r="P110" s="75"/>
      <c r="Q110" s="75"/>
      <c r="R110" s="75"/>
      <c r="S110" s="23"/>
      <c r="T110" s="27"/>
      <c r="U110" s="27"/>
      <c r="V110" s="31"/>
    </row>
    <row r="111">
      <c r="B111" s="90"/>
      <c r="C111" s="91" t="s">
        <v>62</v>
      </c>
      <c r="D111" s="60">
        <v>100.0</v>
      </c>
      <c r="E111" s="92">
        <f t="shared" si="34"/>
        <v>100</v>
      </c>
      <c r="F111" s="61"/>
      <c r="G111" s="55"/>
      <c r="H111" s="93"/>
      <c r="I111" s="56"/>
      <c r="J111" s="93"/>
      <c r="K111" s="93"/>
      <c r="L111" s="93"/>
      <c r="M111" s="93"/>
      <c r="N111" s="93"/>
      <c r="O111" s="93"/>
      <c r="P111" s="93"/>
      <c r="Q111" s="93"/>
      <c r="R111" s="93"/>
      <c r="S111" s="56"/>
      <c r="T111" s="57"/>
      <c r="U111" s="57"/>
      <c r="V111" s="58"/>
    </row>
    <row r="112">
      <c r="B112" s="64"/>
      <c r="C112" s="65"/>
      <c r="D112" s="66"/>
      <c r="E112" s="66"/>
      <c r="F112" s="12"/>
      <c r="G112" s="13"/>
      <c r="H112" s="68" t="s">
        <v>27</v>
      </c>
      <c r="I112" s="14"/>
      <c r="J112" s="68"/>
      <c r="K112" s="68" t="s">
        <v>28</v>
      </c>
      <c r="L112" s="69">
        <f>RANDBETWEEN(0,3)</f>
        <v>2</v>
      </c>
      <c r="M112" s="68" t="s">
        <v>29</v>
      </c>
      <c r="N112" s="70">
        <v>1.0</v>
      </c>
      <c r="O112" s="68"/>
      <c r="P112" s="68"/>
      <c r="Q112" s="68"/>
      <c r="R112" s="68"/>
      <c r="S112" s="16"/>
      <c r="T112" s="17"/>
      <c r="U112" s="17"/>
      <c r="V112" s="18"/>
    </row>
    <row r="113">
      <c r="B113" s="71"/>
      <c r="C113" s="72"/>
      <c r="D113" s="73"/>
      <c r="E113" s="73"/>
      <c r="F113" s="21"/>
      <c r="G113" s="22"/>
      <c r="H113" s="75"/>
      <c r="I113" s="23"/>
      <c r="J113" s="75"/>
      <c r="K113" s="75"/>
      <c r="L113" s="76" t="s">
        <v>33</v>
      </c>
      <c r="M113" s="76" t="s">
        <v>33</v>
      </c>
      <c r="N113" s="75"/>
      <c r="O113" s="75"/>
      <c r="P113" s="75"/>
      <c r="Q113" s="75"/>
      <c r="R113" s="75"/>
      <c r="S113" s="25"/>
      <c r="T113" s="26"/>
      <c r="U113" s="27" t="s">
        <v>34</v>
      </c>
      <c r="V113" s="28"/>
    </row>
    <row r="114">
      <c r="B114" s="71"/>
      <c r="C114" s="72"/>
      <c r="D114" s="73"/>
      <c r="E114" s="73"/>
      <c r="F114" s="29" t="s">
        <v>31</v>
      </c>
      <c r="G114" s="22"/>
      <c r="H114" s="75"/>
      <c r="I114" s="23"/>
      <c r="J114" s="75"/>
      <c r="K114" s="75"/>
      <c r="L114" s="78">
        <f>VLOOKUP(L113,RECOVERY!$AA$8:$AP$10,13,FALSE)</f>
        <v>1.15</v>
      </c>
      <c r="M114" s="78">
        <f>VLOOKUP(M113,RECOVERY!$AA$27:$AP$29,13,FALSE)</f>
        <v>0.85</v>
      </c>
      <c r="N114" s="78">
        <v>-1.5</v>
      </c>
      <c r="O114" s="78">
        <v>0.0</v>
      </c>
      <c r="P114" s="78">
        <v>1.5</v>
      </c>
      <c r="Q114" s="75"/>
      <c r="R114" s="78" t="s">
        <v>35</v>
      </c>
      <c r="S114" s="25"/>
      <c r="T114" s="27">
        <v>0.1</v>
      </c>
      <c r="U114" s="27">
        <v>1.33</v>
      </c>
      <c r="V114" s="31">
        <v>-1.23</v>
      </c>
    </row>
    <row r="115">
      <c r="B115" s="79" t="s">
        <v>11</v>
      </c>
      <c r="C115" s="80"/>
      <c r="D115" s="81" t="s">
        <v>36</v>
      </c>
      <c r="E115" s="82" t="s">
        <v>37</v>
      </c>
      <c r="F115" s="29" t="str">
        <f>SUM(F116:F121)&amp;"/325"</f>
        <v>0/325</v>
      </c>
      <c r="G115" s="30" t="s">
        <v>38</v>
      </c>
      <c r="H115" s="83" t="s">
        <v>39</v>
      </c>
      <c r="I115" s="36" t="s">
        <v>40</v>
      </c>
      <c r="J115" s="83" t="s">
        <v>41</v>
      </c>
      <c r="K115" s="83" t="s">
        <v>42</v>
      </c>
      <c r="L115" s="83" t="s">
        <v>43</v>
      </c>
      <c r="M115" s="83" t="s">
        <v>44</v>
      </c>
      <c r="N115" s="83" t="s">
        <v>45</v>
      </c>
      <c r="O115" s="83" t="s">
        <v>46</v>
      </c>
      <c r="P115" s="83" t="s">
        <v>47</v>
      </c>
      <c r="Q115" s="84" t="s">
        <v>48</v>
      </c>
      <c r="R115" s="83" t="s">
        <v>70</v>
      </c>
      <c r="S115" s="30" t="s">
        <v>50</v>
      </c>
      <c r="T115" s="37" t="s">
        <v>51</v>
      </c>
      <c r="U115" s="37" t="s">
        <v>45</v>
      </c>
      <c r="V115" s="38" t="s">
        <v>47</v>
      </c>
    </row>
    <row r="116">
      <c r="B116" s="85" t="s">
        <v>64</v>
      </c>
      <c r="C116" s="86" t="s">
        <v>52</v>
      </c>
      <c r="D116" s="21">
        <f t="shared" ref="D116:D117" si="37">D106</f>
        <v>210</v>
      </c>
      <c r="E116" s="87">
        <f t="shared" ref="E116:E121" si="38">D116+F116</f>
        <v>210</v>
      </c>
      <c r="F116" s="42"/>
      <c r="G116" s="30">
        <v>55.0</v>
      </c>
      <c r="H116" s="62">
        <f>$G$6+(E116/2)+$AD$6+(AB116/2)+$L$2</f>
        <v>193</v>
      </c>
      <c r="I116" s="30">
        <f>1-(E117/1000)</f>
        <v>0.575</v>
      </c>
      <c r="J116" s="88">
        <f>ROUND(POWER(E116/100,0.5),3)</f>
        <v>1.449</v>
      </c>
      <c r="K116" s="62">
        <f>(G118*J116*I116*N112)</f>
        <v>4.165875</v>
      </c>
      <c r="L116" s="62">
        <f>1+(L114-1)*(1-E120/500)</f>
        <v>1.09</v>
      </c>
      <c r="M116" s="44">
        <f>M114+((1-M114)*0.5*E120/400)</f>
        <v>0.8875</v>
      </c>
      <c r="N116" s="62">
        <f>(E119+(Q116*N114))/1.3</f>
        <v>29.76923077</v>
      </c>
      <c r="O116" s="62">
        <f t="shared" ref="O116:P116" si="35">(D119+(P116*O114))/1.3</f>
        <v>34.61538462</v>
      </c>
      <c r="P116" s="62">
        <f t="shared" si="35"/>
        <v>39.46153846</v>
      </c>
      <c r="Q116" s="88">
        <f>3*(E118/100)</f>
        <v>4.2</v>
      </c>
      <c r="R116" s="62">
        <f>E118*1*(VLOOKUP(B116,SPIN!$M$27:$N$40,2,FALSE))</f>
        <v>12600</v>
      </c>
      <c r="S116" s="30">
        <f>E118*2*3.14/60</f>
        <v>14.65333333</v>
      </c>
      <c r="T116" s="45">
        <f t="shared" ref="T116:V116" si="36">$S116*T114*8</f>
        <v>11.72266667</v>
      </c>
      <c r="U116" s="45">
        <f t="shared" si="36"/>
        <v>155.9114667</v>
      </c>
      <c r="V116" s="46">
        <f t="shared" si="36"/>
        <v>-144.1888</v>
      </c>
    </row>
    <row r="117">
      <c r="B117" s="89"/>
      <c r="C117" s="86" t="s">
        <v>54</v>
      </c>
      <c r="D117" s="21">
        <f t="shared" si="37"/>
        <v>425</v>
      </c>
      <c r="E117" s="87">
        <f t="shared" si="38"/>
        <v>425</v>
      </c>
      <c r="F117" s="42"/>
      <c r="G117" s="30" t="s">
        <v>55</v>
      </c>
      <c r="H117" s="75"/>
      <c r="I117" s="23"/>
      <c r="J117" s="75"/>
      <c r="K117" s="75"/>
      <c r="L117" s="75"/>
      <c r="M117" s="75"/>
      <c r="N117" s="75"/>
      <c r="O117" s="75"/>
      <c r="P117" s="75"/>
      <c r="Q117" s="75"/>
      <c r="R117" s="75"/>
      <c r="S117" s="23"/>
      <c r="T117" s="27"/>
      <c r="U117" s="27"/>
      <c r="V117" s="31"/>
    </row>
    <row r="118">
      <c r="B118" s="89"/>
      <c r="C118" s="86" t="s">
        <v>57</v>
      </c>
      <c r="D118" s="21">
        <f>D128-5</f>
        <v>140</v>
      </c>
      <c r="E118" s="87">
        <f t="shared" si="38"/>
        <v>140</v>
      </c>
      <c r="F118" s="42"/>
      <c r="G118" s="30">
        <v>5.0</v>
      </c>
      <c r="H118" s="75"/>
      <c r="I118" s="23"/>
      <c r="J118" s="75"/>
      <c r="K118" s="75"/>
      <c r="L118" s="75"/>
      <c r="M118" s="75"/>
      <c r="N118" s="75"/>
      <c r="O118" s="75"/>
      <c r="P118" s="75"/>
      <c r="Q118" s="75"/>
      <c r="R118" s="75"/>
      <c r="S118" s="23"/>
      <c r="T118" s="27"/>
      <c r="U118" s="27"/>
      <c r="V118" s="31"/>
    </row>
    <row r="119">
      <c r="B119" s="89"/>
      <c r="C119" s="86" t="s">
        <v>59</v>
      </c>
      <c r="D119" s="48">
        <f>'DEFAULT CLUBS-COMMON'!D119</f>
        <v>45</v>
      </c>
      <c r="E119" s="87">
        <f t="shared" si="38"/>
        <v>45</v>
      </c>
      <c r="F119" s="49"/>
      <c r="G119" s="50"/>
      <c r="H119" s="75"/>
      <c r="I119" s="23"/>
      <c r="J119" s="75"/>
      <c r="K119" s="75"/>
      <c r="L119" s="75"/>
      <c r="M119" s="75"/>
      <c r="N119" s="75"/>
      <c r="O119" s="75"/>
      <c r="P119" s="75"/>
      <c r="Q119" s="75"/>
      <c r="R119" s="75"/>
      <c r="S119" s="23"/>
      <c r="T119" s="27"/>
      <c r="U119" s="27"/>
      <c r="V119" s="31"/>
    </row>
    <row r="120">
      <c r="B120" s="89"/>
      <c r="C120" s="86" t="s">
        <v>61</v>
      </c>
      <c r="D120" s="59">
        <f>D130</f>
        <v>200</v>
      </c>
      <c r="E120" s="87">
        <f t="shared" si="38"/>
        <v>200</v>
      </c>
      <c r="F120" s="42"/>
      <c r="G120" s="22"/>
      <c r="H120" s="75"/>
      <c r="I120" s="23"/>
      <c r="J120" s="75"/>
      <c r="K120" s="75"/>
      <c r="L120" s="75"/>
      <c r="M120" s="75"/>
      <c r="N120" s="75"/>
      <c r="O120" s="75"/>
      <c r="P120" s="75"/>
      <c r="Q120" s="75"/>
      <c r="R120" s="75"/>
      <c r="S120" s="23"/>
      <c r="T120" s="27"/>
      <c r="U120" s="27"/>
      <c r="V120" s="31"/>
    </row>
    <row r="121">
      <c r="B121" s="90"/>
      <c r="C121" s="91" t="s">
        <v>62</v>
      </c>
      <c r="D121" s="60">
        <v>100.0</v>
      </c>
      <c r="E121" s="92">
        <f t="shared" si="38"/>
        <v>100</v>
      </c>
      <c r="F121" s="61"/>
      <c r="G121" s="55"/>
      <c r="H121" s="93"/>
      <c r="I121" s="56"/>
      <c r="J121" s="93"/>
      <c r="K121" s="93"/>
      <c r="L121" s="93"/>
      <c r="M121" s="93"/>
      <c r="N121" s="93"/>
      <c r="O121" s="93"/>
      <c r="P121" s="93"/>
      <c r="Q121" s="93"/>
      <c r="R121" s="93"/>
      <c r="S121" s="56"/>
      <c r="T121" s="57"/>
      <c r="U121" s="57"/>
      <c r="V121" s="58"/>
    </row>
    <row r="122">
      <c r="B122" s="64"/>
      <c r="C122" s="65"/>
      <c r="D122" s="66"/>
      <c r="E122" s="66"/>
      <c r="F122" s="12"/>
      <c r="G122" s="13"/>
      <c r="H122" s="68" t="s">
        <v>27</v>
      </c>
      <c r="I122" s="14"/>
      <c r="J122" s="68"/>
      <c r="K122" s="68" t="s">
        <v>28</v>
      </c>
      <c r="L122" s="69">
        <f>RANDBETWEEN(0,3)</f>
        <v>1</v>
      </c>
      <c r="M122" s="68" t="s">
        <v>29</v>
      </c>
      <c r="N122" s="70">
        <v>1.0</v>
      </c>
      <c r="O122" s="68"/>
      <c r="P122" s="68"/>
      <c r="Q122" s="68"/>
      <c r="R122" s="68"/>
      <c r="S122" s="16"/>
      <c r="T122" s="17"/>
      <c r="U122" s="17"/>
      <c r="V122" s="18"/>
    </row>
    <row r="123">
      <c r="B123" s="71"/>
      <c r="C123" s="72"/>
      <c r="D123" s="73"/>
      <c r="E123" s="73"/>
      <c r="F123" s="21"/>
      <c r="G123" s="22"/>
      <c r="H123" s="75"/>
      <c r="I123" s="23"/>
      <c r="J123" s="75"/>
      <c r="K123" s="75"/>
      <c r="L123" s="76" t="s">
        <v>33</v>
      </c>
      <c r="M123" s="76" t="s">
        <v>33</v>
      </c>
      <c r="N123" s="75"/>
      <c r="O123" s="75"/>
      <c r="P123" s="75"/>
      <c r="Q123" s="75"/>
      <c r="R123" s="75"/>
      <c r="S123" s="25"/>
      <c r="T123" s="26"/>
      <c r="U123" s="27" t="s">
        <v>34</v>
      </c>
      <c r="V123" s="28"/>
    </row>
    <row r="124">
      <c r="B124" s="71"/>
      <c r="C124" s="72"/>
      <c r="D124" s="73"/>
      <c r="E124" s="73"/>
      <c r="F124" s="29" t="s">
        <v>31</v>
      </c>
      <c r="G124" s="22"/>
      <c r="H124" s="75"/>
      <c r="I124" s="23"/>
      <c r="J124" s="75"/>
      <c r="K124" s="75"/>
      <c r="L124" s="78">
        <f>VLOOKUP(L123,RECOVERY!$AA$8:$AP$10,14,FALSE)</f>
        <v>1.15</v>
      </c>
      <c r="M124" s="78">
        <f>VLOOKUP(M123,RECOVERY!$AA$27:$AP$29,14,FALSE)</f>
        <v>0.85</v>
      </c>
      <c r="N124" s="78">
        <v>-1.5</v>
      </c>
      <c r="O124" s="78">
        <v>0.0</v>
      </c>
      <c r="P124" s="78">
        <v>1.5</v>
      </c>
      <c r="Q124" s="75"/>
      <c r="R124" s="78" t="s">
        <v>35</v>
      </c>
      <c r="S124" s="25"/>
      <c r="T124" s="27">
        <v>0.1</v>
      </c>
      <c r="U124" s="27">
        <v>1.33</v>
      </c>
      <c r="V124" s="31">
        <v>-1.23</v>
      </c>
    </row>
    <row r="125">
      <c r="B125" s="79" t="s">
        <v>11</v>
      </c>
      <c r="C125" s="80"/>
      <c r="D125" s="81" t="s">
        <v>36</v>
      </c>
      <c r="E125" s="82" t="s">
        <v>37</v>
      </c>
      <c r="F125" s="29" t="str">
        <f>SUM(F126:F131)&amp;"/325"</f>
        <v>0/325</v>
      </c>
      <c r="G125" s="30" t="s">
        <v>38</v>
      </c>
      <c r="H125" s="83" t="s">
        <v>39</v>
      </c>
      <c r="I125" s="36" t="s">
        <v>40</v>
      </c>
      <c r="J125" s="83" t="s">
        <v>41</v>
      </c>
      <c r="K125" s="83" t="s">
        <v>42</v>
      </c>
      <c r="L125" s="83" t="s">
        <v>43</v>
      </c>
      <c r="M125" s="83" t="s">
        <v>44</v>
      </c>
      <c r="N125" s="83" t="s">
        <v>45</v>
      </c>
      <c r="O125" s="83" t="s">
        <v>46</v>
      </c>
      <c r="P125" s="83" t="s">
        <v>47</v>
      </c>
      <c r="Q125" s="84" t="s">
        <v>48</v>
      </c>
      <c r="R125" s="83" t="s">
        <v>70</v>
      </c>
      <c r="S125" s="30" t="s">
        <v>50</v>
      </c>
      <c r="T125" s="37" t="s">
        <v>51</v>
      </c>
      <c r="U125" s="37" t="s">
        <v>45</v>
      </c>
      <c r="V125" s="38" t="s">
        <v>47</v>
      </c>
    </row>
    <row r="126">
      <c r="B126" s="85" t="s">
        <v>65</v>
      </c>
      <c r="C126" s="86" t="s">
        <v>52</v>
      </c>
      <c r="D126" s="21">
        <f>D116</f>
        <v>210</v>
      </c>
      <c r="E126" s="87">
        <f t="shared" ref="E126:E131" si="41">D126+F126</f>
        <v>210</v>
      </c>
      <c r="F126" s="42"/>
      <c r="G126" s="30">
        <v>55.0</v>
      </c>
      <c r="H126" s="62">
        <f>$G$6+(E126/2)+$AD$6+(AB126/2)+$L$2</f>
        <v>193</v>
      </c>
      <c r="I126" s="30">
        <f>1-(E127/1000)</f>
        <v>0.57</v>
      </c>
      <c r="J126" s="88">
        <f>ROUND(POWER(E126/100,0.5),3)</f>
        <v>1.449</v>
      </c>
      <c r="K126" s="62">
        <f>(G128*J126*I126*N122)</f>
        <v>4.12965</v>
      </c>
      <c r="L126" s="62">
        <f>1+(L124-1)*(1-E130/500)</f>
        <v>1.09</v>
      </c>
      <c r="M126" s="44">
        <f>M124+((1-M124)*0.5*E130/400)</f>
        <v>0.8875</v>
      </c>
      <c r="N126" s="62">
        <f>(E129+(Q126*N124))/1.3</f>
        <v>29.59615385</v>
      </c>
      <c r="O126" s="62">
        <f t="shared" ref="O126:P126" si="39">(D129+(P126*O124))/1.3</f>
        <v>34.61538462</v>
      </c>
      <c r="P126" s="62">
        <f t="shared" si="39"/>
        <v>39.63461538</v>
      </c>
      <c r="Q126" s="88">
        <f>3*(E128/100)</f>
        <v>4.35</v>
      </c>
      <c r="R126" s="62">
        <f>E128*1*(VLOOKUP(B126,SPIN!$M$27:$N$40,2,FALSE))</f>
        <v>13050</v>
      </c>
      <c r="S126" s="30">
        <f>E128*2*3.14/60</f>
        <v>15.17666667</v>
      </c>
      <c r="T126" s="45">
        <f t="shared" ref="T126:V126" si="40">$S126*T124*8</f>
        <v>12.14133333</v>
      </c>
      <c r="U126" s="45">
        <f t="shared" si="40"/>
        <v>161.4797333</v>
      </c>
      <c r="V126" s="46">
        <f t="shared" si="40"/>
        <v>-149.3384</v>
      </c>
    </row>
    <row r="127">
      <c r="B127" s="89"/>
      <c r="C127" s="86" t="s">
        <v>54</v>
      </c>
      <c r="D127" s="21">
        <f>D117+5</f>
        <v>430</v>
      </c>
      <c r="E127" s="87">
        <f t="shared" si="41"/>
        <v>430</v>
      </c>
      <c r="F127" s="42"/>
      <c r="G127" s="30" t="s">
        <v>55</v>
      </c>
      <c r="H127" s="75"/>
      <c r="I127" s="23"/>
      <c r="J127" s="75"/>
      <c r="K127" s="75"/>
      <c r="L127" s="75"/>
      <c r="M127" s="75"/>
      <c r="N127" s="75"/>
      <c r="O127" s="75"/>
      <c r="P127" s="75"/>
      <c r="Q127" s="75"/>
      <c r="R127" s="75"/>
      <c r="S127" s="23"/>
      <c r="T127" s="27"/>
      <c r="U127" s="27"/>
      <c r="V127" s="31"/>
    </row>
    <row r="128">
      <c r="B128" s="89"/>
      <c r="C128" s="86" t="s">
        <v>57</v>
      </c>
      <c r="D128" s="21">
        <f>D138-5</f>
        <v>145</v>
      </c>
      <c r="E128" s="87">
        <f t="shared" si="41"/>
        <v>145</v>
      </c>
      <c r="F128" s="42"/>
      <c r="G128" s="30">
        <v>5.0</v>
      </c>
      <c r="H128" s="75"/>
      <c r="I128" s="23"/>
      <c r="J128" s="75"/>
      <c r="K128" s="75"/>
      <c r="L128" s="75"/>
      <c r="M128" s="75"/>
      <c r="N128" s="75"/>
      <c r="O128" s="75"/>
      <c r="P128" s="75"/>
      <c r="Q128" s="75"/>
      <c r="R128" s="75"/>
      <c r="S128" s="23"/>
      <c r="T128" s="27"/>
      <c r="U128" s="27"/>
      <c r="V128" s="31"/>
    </row>
    <row r="129">
      <c r="B129" s="89"/>
      <c r="C129" s="86" t="s">
        <v>59</v>
      </c>
      <c r="D129" s="48">
        <f>'DEFAULT CLUBS-COMMON'!D129</f>
        <v>45</v>
      </c>
      <c r="E129" s="87">
        <f t="shared" si="41"/>
        <v>45</v>
      </c>
      <c r="F129" s="49"/>
      <c r="G129" s="50"/>
      <c r="H129" s="75"/>
      <c r="I129" s="23"/>
      <c r="J129" s="75"/>
      <c r="K129" s="75"/>
      <c r="L129" s="75"/>
      <c r="M129" s="75"/>
      <c r="N129" s="75"/>
      <c r="O129" s="75"/>
      <c r="P129" s="75"/>
      <c r="Q129" s="75"/>
      <c r="R129" s="75"/>
      <c r="S129" s="23"/>
      <c r="T129" s="27"/>
      <c r="U129" s="27"/>
      <c r="V129" s="31"/>
    </row>
    <row r="130">
      <c r="B130" s="89"/>
      <c r="C130" s="86" t="s">
        <v>61</v>
      </c>
      <c r="D130" s="59">
        <f>D140</f>
        <v>200</v>
      </c>
      <c r="E130" s="87">
        <f t="shared" si="41"/>
        <v>200</v>
      </c>
      <c r="F130" s="42"/>
      <c r="G130" s="22"/>
      <c r="H130" s="75"/>
      <c r="I130" s="23"/>
      <c r="J130" s="75"/>
      <c r="K130" s="75"/>
      <c r="L130" s="75"/>
      <c r="M130" s="75"/>
      <c r="N130" s="75"/>
      <c r="O130" s="75"/>
      <c r="P130" s="75"/>
      <c r="Q130" s="75"/>
      <c r="R130" s="75"/>
      <c r="S130" s="23"/>
      <c r="T130" s="27"/>
      <c r="U130" s="27"/>
      <c r="V130" s="31"/>
    </row>
    <row r="131">
      <c r="B131" s="90"/>
      <c r="C131" s="91" t="s">
        <v>62</v>
      </c>
      <c r="D131" s="60">
        <v>100.0</v>
      </c>
      <c r="E131" s="92">
        <f t="shared" si="41"/>
        <v>100</v>
      </c>
      <c r="F131" s="61"/>
      <c r="G131" s="55"/>
      <c r="H131" s="93"/>
      <c r="I131" s="56"/>
      <c r="J131" s="93"/>
      <c r="K131" s="93"/>
      <c r="L131" s="93"/>
      <c r="M131" s="93"/>
      <c r="N131" s="93"/>
      <c r="O131" s="93"/>
      <c r="P131" s="93"/>
      <c r="Q131" s="93"/>
      <c r="R131" s="93"/>
      <c r="S131" s="56"/>
      <c r="T131" s="57"/>
      <c r="U131" s="57"/>
      <c r="V131" s="58"/>
    </row>
    <row r="132">
      <c r="B132" s="64"/>
      <c r="C132" s="65"/>
      <c r="D132" s="66"/>
      <c r="E132" s="66"/>
      <c r="F132" s="12"/>
      <c r="G132" s="13"/>
      <c r="H132" s="68" t="s">
        <v>27</v>
      </c>
      <c r="I132" s="14"/>
      <c r="J132" s="68"/>
      <c r="K132" s="68" t="s">
        <v>28</v>
      </c>
      <c r="L132" s="69">
        <f>RANDBETWEEN(0,3)</f>
        <v>2</v>
      </c>
      <c r="M132" s="68" t="s">
        <v>29</v>
      </c>
      <c r="N132" s="105">
        <v>1.0</v>
      </c>
      <c r="O132" s="68"/>
      <c r="P132" s="68"/>
      <c r="Q132" s="68"/>
      <c r="R132" s="68"/>
      <c r="S132" s="16"/>
      <c r="T132" s="17"/>
      <c r="U132" s="17"/>
      <c r="V132" s="18"/>
    </row>
    <row r="133">
      <c r="B133" s="71"/>
      <c r="C133" s="72"/>
      <c r="D133" s="73"/>
      <c r="E133" s="73"/>
      <c r="F133" s="21"/>
      <c r="G133" s="22"/>
      <c r="H133" s="75"/>
      <c r="I133" s="23"/>
      <c r="J133" s="75"/>
      <c r="K133" s="75"/>
      <c r="L133" s="76" t="s">
        <v>33</v>
      </c>
      <c r="M133" s="76" t="s">
        <v>33</v>
      </c>
      <c r="N133" s="75"/>
      <c r="O133" s="75"/>
      <c r="P133" s="75"/>
      <c r="Q133" s="75"/>
      <c r="R133" s="75"/>
      <c r="S133" s="25"/>
      <c r="T133" s="26"/>
      <c r="U133" s="27" t="s">
        <v>34</v>
      </c>
      <c r="V133" s="28"/>
    </row>
    <row r="134">
      <c r="B134" s="71"/>
      <c r="C134" s="72"/>
      <c r="D134" s="73"/>
      <c r="E134" s="73"/>
      <c r="F134" s="29" t="s">
        <v>31</v>
      </c>
      <c r="G134" s="22"/>
      <c r="H134" s="75"/>
      <c r="I134" s="23"/>
      <c r="J134" s="75"/>
      <c r="K134" s="75"/>
      <c r="L134" s="78">
        <f>VLOOKUP(L133,RECOVERY!$AA$8:$AP$10,15,FALSE)</f>
        <v>1.15</v>
      </c>
      <c r="M134" s="78">
        <f>VLOOKUP(M133,RECOVERY!$AA$27:$AP$29,15,FALSE)</f>
        <v>0.85</v>
      </c>
      <c r="N134" s="106">
        <v>-1.5</v>
      </c>
      <c r="O134" s="106">
        <v>0.0</v>
      </c>
      <c r="P134" s="106">
        <v>1.5</v>
      </c>
      <c r="Q134" s="75"/>
      <c r="R134" s="78" t="s">
        <v>35</v>
      </c>
      <c r="S134" s="25"/>
      <c r="T134" s="27">
        <v>0.1</v>
      </c>
      <c r="U134" s="27">
        <v>1.33</v>
      </c>
      <c r="V134" s="31">
        <v>-1.23</v>
      </c>
    </row>
    <row r="135">
      <c r="B135" s="79" t="s">
        <v>11</v>
      </c>
      <c r="C135" s="80"/>
      <c r="D135" s="81" t="s">
        <v>36</v>
      </c>
      <c r="E135" s="82" t="s">
        <v>37</v>
      </c>
      <c r="F135" s="29" t="str">
        <f>SUM(F136:F141)&amp;"/325"</f>
        <v>0/325</v>
      </c>
      <c r="G135" s="30" t="s">
        <v>38</v>
      </c>
      <c r="H135" s="83" t="s">
        <v>39</v>
      </c>
      <c r="I135" s="36" t="s">
        <v>40</v>
      </c>
      <c r="J135" s="83" t="s">
        <v>41</v>
      </c>
      <c r="K135" s="83" t="s">
        <v>42</v>
      </c>
      <c r="L135" s="83" t="s">
        <v>43</v>
      </c>
      <c r="M135" s="83" t="s">
        <v>44</v>
      </c>
      <c r="N135" s="107" t="s">
        <v>45</v>
      </c>
      <c r="O135" s="107" t="s">
        <v>46</v>
      </c>
      <c r="P135" s="107" t="s">
        <v>47</v>
      </c>
      <c r="Q135" s="84" t="s">
        <v>48</v>
      </c>
      <c r="R135" s="83" t="s">
        <v>70</v>
      </c>
      <c r="S135" s="30" t="s">
        <v>50</v>
      </c>
      <c r="T135" s="37" t="s">
        <v>51</v>
      </c>
      <c r="U135" s="37" t="s">
        <v>45</v>
      </c>
      <c r="V135" s="38" t="s">
        <v>47</v>
      </c>
    </row>
    <row r="136">
      <c r="B136" s="85" t="s">
        <v>66</v>
      </c>
      <c r="C136" s="86" t="s">
        <v>52</v>
      </c>
      <c r="D136" s="21">
        <f t="shared" ref="D136:D137" si="44">D126</f>
        <v>210</v>
      </c>
      <c r="E136" s="87">
        <f t="shared" ref="E136:E141" si="45">D136+F136</f>
        <v>210</v>
      </c>
      <c r="F136" s="42"/>
      <c r="G136" s="30">
        <v>55.0</v>
      </c>
      <c r="H136" s="62">
        <f>$G$6+(E136/2)+$AD$6+(AB136/2)+$L$2</f>
        <v>193</v>
      </c>
      <c r="I136" s="30">
        <f>1-(E137/1000)</f>
        <v>0.57</v>
      </c>
      <c r="J136" s="88">
        <f>ROUND(POWER(E136/100,0.5),3)</f>
        <v>1.449</v>
      </c>
      <c r="K136" s="62">
        <f>(G138*J136*I136*N132)</f>
        <v>4.12965</v>
      </c>
      <c r="L136" s="62">
        <f>1+(L134-1)*(1-E140/500)</f>
        <v>1.09</v>
      </c>
      <c r="M136" s="44">
        <f>M134+((1-M134)*0.5*E140/400)</f>
        <v>0.8875</v>
      </c>
      <c r="N136" s="62">
        <f>(E139+(Q136*N134))/1.3</f>
        <v>36.34615385</v>
      </c>
      <c r="O136" s="62">
        <f t="shared" ref="O136:P136" si="42">(D139+(P136*O134))/1.3</f>
        <v>41.53846154</v>
      </c>
      <c r="P136" s="62">
        <f t="shared" si="42"/>
        <v>46.73076923</v>
      </c>
      <c r="Q136" s="88">
        <f>3*(E138/100)</f>
        <v>4.5</v>
      </c>
      <c r="R136" s="62">
        <f>E138*1*(VLOOKUP(B136,SPIN!$M$27:$N$40,2,FALSE))</f>
        <v>13500</v>
      </c>
      <c r="S136" s="30">
        <f>E138*2*3.14/60</f>
        <v>15.7</v>
      </c>
      <c r="T136" s="45">
        <f t="shared" ref="T136:V136" si="43">$S136*T134*8</f>
        <v>12.56</v>
      </c>
      <c r="U136" s="45">
        <f t="shared" si="43"/>
        <v>167.048</v>
      </c>
      <c r="V136" s="46">
        <f t="shared" si="43"/>
        <v>-154.488</v>
      </c>
    </row>
    <row r="137">
      <c r="B137" s="89"/>
      <c r="C137" s="86" t="s">
        <v>54</v>
      </c>
      <c r="D137" s="21">
        <f t="shared" si="44"/>
        <v>430</v>
      </c>
      <c r="E137" s="87">
        <f t="shared" si="45"/>
        <v>430</v>
      </c>
      <c r="F137" s="42"/>
      <c r="G137" s="30" t="s">
        <v>55</v>
      </c>
      <c r="H137" s="75"/>
      <c r="I137" s="23"/>
      <c r="J137" s="75"/>
      <c r="K137" s="75"/>
      <c r="L137" s="75"/>
      <c r="M137" s="75"/>
      <c r="N137" s="75"/>
      <c r="O137" s="75"/>
      <c r="P137" s="75"/>
      <c r="Q137" s="75"/>
      <c r="R137" s="75"/>
      <c r="S137" s="23"/>
      <c r="T137" s="27"/>
      <c r="U137" s="27"/>
      <c r="V137" s="31"/>
    </row>
    <row r="138">
      <c r="B138" s="89"/>
      <c r="C138" s="86" t="s">
        <v>57</v>
      </c>
      <c r="D138" s="21">
        <v>150.0</v>
      </c>
      <c r="E138" s="87">
        <f t="shared" si="45"/>
        <v>150</v>
      </c>
      <c r="F138" s="42"/>
      <c r="G138" s="30">
        <v>5.0</v>
      </c>
      <c r="H138" s="75"/>
      <c r="I138" s="23"/>
      <c r="J138" s="75"/>
      <c r="K138" s="75"/>
      <c r="L138" s="75"/>
      <c r="M138" s="75"/>
      <c r="N138" s="75"/>
      <c r="O138" s="75"/>
      <c r="P138" s="75"/>
      <c r="Q138" s="75"/>
      <c r="R138" s="75"/>
      <c r="S138" s="23"/>
      <c r="T138" s="27"/>
      <c r="U138" s="27"/>
      <c r="V138" s="31"/>
    </row>
    <row r="139">
      <c r="B139" s="89"/>
      <c r="C139" s="86" t="s">
        <v>59</v>
      </c>
      <c r="D139" s="48">
        <f>'DEFAULT CLUBS-COMMON'!D139</f>
        <v>54</v>
      </c>
      <c r="E139" s="87">
        <f t="shared" si="45"/>
        <v>54</v>
      </c>
      <c r="F139" s="49"/>
      <c r="G139" s="50"/>
      <c r="H139" s="75"/>
      <c r="I139" s="23"/>
      <c r="J139" s="75"/>
      <c r="K139" s="75"/>
      <c r="L139" s="75"/>
      <c r="M139" s="75"/>
      <c r="N139" s="75"/>
      <c r="O139" s="75"/>
      <c r="P139" s="75"/>
      <c r="Q139" s="75"/>
      <c r="R139" s="75"/>
      <c r="S139" s="23"/>
      <c r="T139" s="27"/>
      <c r="U139" s="27"/>
      <c r="V139" s="31"/>
    </row>
    <row r="140">
      <c r="B140" s="89"/>
      <c r="C140" s="86" t="s">
        <v>61</v>
      </c>
      <c r="D140" s="59">
        <v>200.0</v>
      </c>
      <c r="E140" s="87">
        <f t="shared" si="45"/>
        <v>200</v>
      </c>
      <c r="F140" s="42"/>
      <c r="G140" s="22"/>
      <c r="H140" s="75"/>
      <c r="I140" s="23"/>
      <c r="J140" s="75"/>
      <c r="K140" s="75"/>
      <c r="L140" s="75"/>
      <c r="M140" s="75"/>
      <c r="N140" s="75"/>
      <c r="O140" s="75"/>
      <c r="P140" s="75"/>
      <c r="Q140" s="75"/>
      <c r="R140" s="75"/>
      <c r="S140" s="23"/>
      <c r="T140" s="27"/>
      <c r="U140" s="27"/>
      <c r="V140" s="31"/>
    </row>
    <row r="141">
      <c r="B141" s="90"/>
      <c r="C141" s="91" t="s">
        <v>62</v>
      </c>
      <c r="D141" s="60">
        <v>100.0</v>
      </c>
      <c r="E141" s="92">
        <f t="shared" si="45"/>
        <v>100</v>
      </c>
      <c r="F141" s="61"/>
      <c r="G141" s="55"/>
      <c r="H141" s="93"/>
      <c r="I141" s="56"/>
      <c r="J141" s="93"/>
      <c r="K141" s="93"/>
      <c r="L141" s="93"/>
      <c r="M141" s="93"/>
      <c r="N141" s="93"/>
      <c r="O141" s="93"/>
      <c r="P141" s="93"/>
      <c r="Q141" s="93"/>
      <c r="R141" s="93"/>
      <c r="S141" s="56"/>
      <c r="T141" s="57"/>
      <c r="U141" s="57"/>
      <c r="V141" s="58"/>
    </row>
    <row r="142">
      <c r="B142" s="64"/>
      <c r="C142" s="65"/>
      <c r="D142" s="66"/>
      <c r="E142" s="66"/>
      <c r="F142" s="12"/>
      <c r="G142" s="13"/>
      <c r="H142" s="68" t="s">
        <v>27</v>
      </c>
      <c r="I142" s="14"/>
      <c r="J142" s="68"/>
      <c r="K142" s="68" t="s">
        <v>28</v>
      </c>
      <c r="L142" s="69">
        <f>RANDBETWEEN(0,3)</f>
        <v>2</v>
      </c>
      <c r="M142" s="68" t="s">
        <v>29</v>
      </c>
      <c r="N142" s="70">
        <v>1.0</v>
      </c>
      <c r="O142" s="68"/>
      <c r="P142" s="68"/>
      <c r="Q142" s="68"/>
      <c r="R142" s="68"/>
      <c r="S142" s="68"/>
      <c r="T142" s="114"/>
      <c r="U142" s="114"/>
      <c r="V142" s="115"/>
    </row>
    <row r="143">
      <c r="B143" s="71"/>
      <c r="C143" s="72"/>
      <c r="D143" s="73"/>
      <c r="E143" s="73"/>
      <c r="F143" s="21"/>
      <c r="G143" s="22"/>
      <c r="H143" s="75"/>
      <c r="I143" s="23"/>
      <c r="J143" s="75"/>
      <c r="K143" s="75"/>
      <c r="L143" s="76" t="s">
        <v>33</v>
      </c>
      <c r="M143" s="76" t="s">
        <v>33</v>
      </c>
      <c r="N143" s="75"/>
      <c r="O143" s="75"/>
      <c r="P143" s="75"/>
      <c r="Q143" s="75"/>
      <c r="R143" s="75"/>
      <c r="S143" s="75"/>
      <c r="T143" s="100"/>
      <c r="U143" s="100"/>
      <c r="V143" s="101"/>
    </row>
    <row r="144">
      <c r="B144" s="71"/>
      <c r="C144" s="72"/>
      <c r="D144" s="73"/>
      <c r="E144" s="73"/>
      <c r="F144" s="29" t="s">
        <v>31</v>
      </c>
      <c r="G144" s="22"/>
      <c r="H144" s="75"/>
      <c r="I144" s="23"/>
      <c r="J144" s="75"/>
      <c r="K144" s="75"/>
      <c r="L144" s="78">
        <f>VLOOKUP(L143,RECOVERY!$AA$8:$AP$10,2,FALSE)</f>
        <v>1.4</v>
      </c>
      <c r="M144" s="78">
        <f>VLOOKUP(M143,RECOVERY!$AA$27:$AP$29,2,FALSE)</f>
        <v>0.65</v>
      </c>
      <c r="N144" s="78">
        <v>-1.0</v>
      </c>
      <c r="O144" s="78">
        <v>0.0</v>
      </c>
      <c r="P144" s="78">
        <v>1.0</v>
      </c>
      <c r="Q144" s="75"/>
      <c r="R144" s="78"/>
      <c r="S144" s="75"/>
      <c r="T144" s="100"/>
      <c r="U144" s="100"/>
      <c r="V144" s="101"/>
    </row>
    <row r="145">
      <c r="B145" s="79" t="s">
        <v>11</v>
      </c>
      <c r="C145" s="80"/>
      <c r="D145" s="81" t="s">
        <v>36</v>
      </c>
      <c r="E145" s="82" t="s">
        <v>37</v>
      </c>
      <c r="F145" s="29" t="str">
        <f>SUM(F146:F151)&amp;"/325"</f>
        <v>0/325</v>
      </c>
      <c r="G145" s="30" t="s">
        <v>38</v>
      </c>
      <c r="H145" s="83" t="s">
        <v>39</v>
      </c>
      <c r="I145" s="36" t="s">
        <v>40</v>
      </c>
      <c r="J145" s="83" t="s">
        <v>41</v>
      </c>
      <c r="K145" s="83" t="s">
        <v>42</v>
      </c>
      <c r="L145" s="83" t="s">
        <v>43</v>
      </c>
      <c r="M145" s="83" t="s">
        <v>44</v>
      </c>
      <c r="N145" s="83" t="s">
        <v>45</v>
      </c>
      <c r="O145" s="83" t="s">
        <v>46</v>
      </c>
      <c r="P145" s="83" t="s">
        <v>47</v>
      </c>
      <c r="Q145" s="84" t="s">
        <v>48</v>
      </c>
      <c r="R145" s="83" t="s">
        <v>70</v>
      </c>
      <c r="S145" s="84"/>
      <c r="T145" s="116"/>
      <c r="U145" s="116"/>
      <c r="V145" s="117"/>
    </row>
    <row r="146">
      <c r="B146" s="85" t="s">
        <v>67</v>
      </c>
      <c r="C146" s="86" t="s">
        <v>52</v>
      </c>
      <c r="D146" s="59">
        <v>50.0</v>
      </c>
      <c r="E146" s="87">
        <f t="shared" ref="E146:E151" si="46">D146+F146</f>
        <v>50</v>
      </c>
      <c r="F146" s="42"/>
      <c r="G146" s="30">
        <v>35.0</v>
      </c>
      <c r="H146" s="99">
        <f>E146</f>
        <v>50</v>
      </c>
      <c r="I146" s="30">
        <f>1-(E147/1000)</f>
        <v>0.565</v>
      </c>
      <c r="J146" s="88">
        <f>ROUND(POWER(E146/100,0.5),3)</f>
        <v>0.707</v>
      </c>
      <c r="K146" s="62">
        <f>(G148*J146*I146*N142)</f>
        <v>0.399455</v>
      </c>
      <c r="L146" s="99" t="s">
        <v>68</v>
      </c>
      <c r="M146" s="99" t="s">
        <v>68</v>
      </c>
      <c r="N146" s="97" t="s">
        <v>68</v>
      </c>
      <c r="O146" s="111" t="str">
        <f>(D149+(P146*O144))/2</f>
        <v>#VALUE!</v>
      </c>
      <c r="P146" s="97" t="s">
        <v>68</v>
      </c>
      <c r="Q146" s="88">
        <f>3*(E148/100)</f>
        <v>0.03</v>
      </c>
      <c r="R146" s="99"/>
      <c r="S146" s="88"/>
      <c r="T146" s="118"/>
      <c r="U146" s="118"/>
      <c r="V146" s="119"/>
    </row>
    <row r="147">
      <c r="B147" s="89"/>
      <c r="C147" s="86" t="s">
        <v>54</v>
      </c>
      <c r="D147" s="21">
        <f>D137+5</f>
        <v>435</v>
      </c>
      <c r="E147" s="87">
        <f t="shared" si="46"/>
        <v>435</v>
      </c>
      <c r="F147" s="42"/>
      <c r="G147" s="30" t="s">
        <v>55</v>
      </c>
      <c r="H147" s="75"/>
      <c r="I147" s="23"/>
      <c r="J147" s="75"/>
      <c r="K147" s="75"/>
      <c r="L147" s="75"/>
      <c r="M147" s="75"/>
      <c r="N147" s="75"/>
      <c r="O147" s="75"/>
      <c r="P147" s="75"/>
      <c r="Q147" s="75"/>
      <c r="R147" s="75"/>
      <c r="S147" s="75"/>
      <c r="T147" s="100"/>
      <c r="U147" s="100"/>
      <c r="V147" s="101"/>
    </row>
    <row r="148">
      <c r="B148" s="89"/>
      <c r="C148" s="86" t="s">
        <v>57</v>
      </c>
      <c r="D148" s="59">
        <v>1.0</v>
      </c>
      <c r="E148" s="87">
        <f t="shared" si="46"/>
        <v>1</v>
      </c>
      <c r="F148" s="42"/>
      <c r="G148" s="30">
        <v>1.0</v>
      </c>
      <c r="H148" s="75"/>
      <c r="I148" s="23"/>
      <c r="J148" s="75"/>
      <c r="K148" s="75"/>
      <c r="L148" s="75"/>
      <c r="M148" s="75"/>
      <c r="N148" s="75"/>
      <c r="O148" s="75"/>
      <c r="P148" s="75"/>
      <c r="Q148" s="75"/>
      <c r="R148" s="75"/>
      <c r="S148" s="75"/>
      <c r="T148" s="100"/>
      <c r="U148" s="100"/>
      <c r="V148" s="101"/>
    </row>
    <row r="149">
      <c r="B149" s="89"/>
      <c r="C149" s="86" t="s">
        <v>59</v>
      </c>
      <c r="D149" s="48">
        <f>'DEFAULT CLUBS-COMMON'!D149</f>
        <v>4</v>
      </c>
      <c r="E149" s="87">
        <f t="shared" si="46"/>
        <v>4</v>
      </c>
      <c r="F149" s="49"/>
      <c r="G149" s="50"/>
      <c r="H149" s="75"/>
      <c r="I149" s="23"/>
      <c r="J149" s="75"/>
      <c r="K149" s="75"/>
      <c r="L149" s="75"/>
      <c r="M149" s="75"/>
      <c r="N149" s="75"/>
      <c r="O149" s="75"/>
      <c r="P149" s="75"/>
      <c r="Q149" s="75"/>
      <c r="R149" s="75"/>
      <c r="S149" s="75"/>
      <c r="T149" s="100"/>
      <c r="U149" s="100"/>
      <c r="V149" s="101"/>
    </row>
    <row r="150">
      <c r="B150" s="89"/>
      <c r="C150" s="86" t="s">
        <v>61</v>
      </c>
      <c r="D150" s="59">
        <v>1.0</v>
      </c>
      <c r="E150" s="87">
        <f t="shared" si="46"/>
        <v>1</v>
      </c>
      <c r="F150" s="42"/>
      <c r="G150" s="22"/>
      <c r="H150" s="75"/>
      <c r="I150" s="23"/>
      <c r="J150" s="75"/>
      <c r="K150" s="75"/>
      <c r="L150" s="75"/>
      <c r="M150" s="75"/>
      <c r="N150" s="75"/>
      <c r="O150" s="75"/>
      <c r="P150" s="75"/>
      <c r="Q150" s="75"/>
      <c r="R150" s="75"/>
      <c r="S150" s="75"/>
      <c r="T150" s="100"/>
      <c r="U150" s="100"/>
      <c r="V150" s="101"/>
    </row>
    <row r="151">
      <c r="B151" s="90"/>
      <c r="C151" s="91" t="s">
        <v>62</v>
      </c>
      <c r="D151" s="53">
        <v>350.0</v>
      </c>
      <c r="E151" s="92">
        <f t="shared" si="46"/>
        <v>350</v>
      </c>
      <c r="F151" s="61"/>
      <c r="G151" s="55"/>
      <c r="H151" s="93"/>
      <c r="I151" s="56"/>
      <c r="J151" s="93"/>
      <c r="K151" s="93"/>
      <c r="L151" s="93"/>
      <c r="M151" s="93"/>
      <c r="N151" s="93"/>
      <c r="O151" s="93"/>
      <c r="P151" s="93"/>
      <c r="Q151" s="93"/>
      <c r="R151" s="93"/>
      <c r="S151" s="93"/>
      <c r="T151" s="102"/>
      <c r="U151" s="102"/>
      <c r="V151" s="103"/>
    </row>
  </sheetData>
  <dataValidations>
    <dataValidation type="list" allowBlank="1" showErrorMessage="1" sqref="N2 N12 N22 N32 N42 N52 N62 N72 N82 N92 N102 N112 N122 N132 N142">
      <formula1>"0,0.5,1"</formula1>
    </dataValidation>
    <dataValidation type="list" allowBlank="1" showErrorMessage="1" sqref="L3:M3 L13:M13 L23:M23 L33:M33 L43:M43 L53:M53 L63:M63 L73:M73 L83:M83 L93:M93 L103:M103 L113:M113 L123:M123 L133:M133 L143:M143">
      <formula1>"Rough,SemiRough,Bunker"</formula1>
    </dataValidation>
    <dataValidation type="list" allowBlank="1" showErrorMessage="1" sqref="C4:C151">
      <formula1>"Power,Accuracy,Spin,Loft,Recovery,Durability"</formula1>
    </dataValidation>
    <dataValidation type="list" allowBlank="1" showErrorMessage="1" sqref="G11 G21 G31 G41 G51 G61 G71 G81 G91 G101 G111 G121 G131 G141 G151">
      <formula1>"Base Rar Dist,55,Mistake based on Rarity,5"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</sheetPr>
  <sheetViews>
    <sheetView workbookViewId="0"/>
  </sheetViews>
  <sheetFormatPr customHeight="1" defaultColWidth="12.63" defaultRowHeight="15.75" outlineLevelCol="1"/>
  <cols>
    <col hidden="1" min="1" max="7" width="12.63" outlineLevel="1"/>
    <col collapsed="1" min="8" max="8" width="12.63"/>
  </cols>
  <sheetData>
    <row r="1">
      <c r="I1" s="120" t="s">
        <v>71</v>
      </c>
      <c r="J1" s="121"/>
      <c r="K1" s="121"/>
      <c r="L1" s="122"/>
    </row>
    <row r="2">
      <c r="B2" s="3">
        <v>325.0</v>
      </c>
      <c r="I2" s="123" t="s">
        <v>72</v>
      </c>
      <c r="J2" s="6"/>
      <c r="K2" s="6"/>
      <c r="L2" s="124"/>
    </row>
    <row r="3">
      <c r="B3" s="3" t="s">
        <v>37</v>
      </c>
      <c r="G3" s="3" t="s">
        <v>73</v>
      </c>
      <c r="I3" s="125"/>
      <c r="J3" s="126"/>
      <c r="K3" s="126"/>
      <c r="L3" s="127"/>
    </row>
    <row r="4">
      <c r="A4" s="128" t="s">
        <v>74</v>
      </c>
      <c r="B4" s="3">
        <f>C4+$B$2</f>
        <v>525</v>
      </c>
      <c r="C4" s="3">
        <v>200.0</v>
      </c>
      <c r="F4" s="3" t="s">
        <v>75</v>
      </c>
      <c r="G4" s="4">
        <f>15+(85*SQRT((B4-10)/515))</f>
        <v>100</v>
      </c>
    </row>
    <row r="5">
      <c r="I5" s="129" t="s">
        <v>76</v>
      </c>
      <c r="J5" s="130"/>
      <c r="K5" s="130"/>
      <c r="L5" s="131"/>
    </row>
    <row r="6">
      <c r="I6" s="132"/>
      <c r="J6" s="133"/>
      <c r="K6" s="133"/>
      <c r="L6" s="134"/>
    </row>
    <row r="7">
      <c r="I7" s="135" t="s">
        <v>77</v>
      </c>
      <c r="J7" s="133"/>
      <c r="K7" s="133"/>
      <c r="L7" s="134"/>
    </row>
    <row r="8">
      <c r="I8" s="136" t="s">
        <v>78</v>
      </c>
      <c r="J8" s="137"/>
      <c r="K8" s="137"/>
      <c r="L8" s="138"/>
    </row>
    <row r="11">
      <c r="I11" s="3" t="s">
        <v>79</v>
      </c>
    </row>
    <row r="12">
      <c r="I12" s="139"/>
      <c r="J12" s="128" t="s">
        <v>80</v>
      </c>
      <c r="K12" s="128" t="s">
        <v>33</v>
      </c>
      <c r="L12" s="128" t="s">
        <v>81</v>
      </c>
      <c r="M12" s="128" t="s">
        <v>32</v>
      </c>
      <c r="N12" s="128" t="s">
        <v>82</v>
      </c>
    </row>
    <row r="13">
      <c r="I13" s="128" t="s">
        <v>83</v>
      </c>
      <c r="J13" s="140">
        <v>0.65</v>
      </c>
      <c r="K13" s="140">
        <v>0.65</v>
      </c>
      <c r="L13" s="140">
        <v>0.45</v>
      </c>
      <c r="M13" s="140">
        <v>0.25</v>
      </c>
      <c r="N13" s="140">
        <v>0.75</v>
      </c>
    </row>
    <row r="14">
      <c r="I14" s="128" t="s">
        <v>13</v>
      </c>
      <c r="J14" s="140">
        <v>1.0</v>
      </c>
      <c r="K14" s="140">
        <v>0.65</v>
      </c>
      <c r="L14" s="140">
        <v>0.45</v>
      </c>
      <c r="M14" s="140">
        <v>0.25</v>
      </c>
      <c r="N14" s="140">
        <v>0.75</v>
      </c>
    </row>
    <row r="15">
      <c r="I15" s="128" t="s">
        <v>14</v>
      </c>
      <c r="J15" s="140">
        <v>1.0</v>
      </c>
      <c r="K15" s="140">
        <v>0.65</v>
      </c>
      <c r="L15" s="140">
        <v>0.45</v>
      </c>
      <c r="M15" s="140">
        <v>0.25</v>
      </c>
      <c r="N15" s="140">
        <v>0.75</v>
      </c>
    </row>
    <row r="16">
      <c r="I16" s="128" t="s">
        <v>15</v>
      </c>
      <c r="J16" s="140">
        <v>1.0</v>
      </c>
      <c r="K16" s="140">
        <v>0.65</v>
      </c>
      <c r="L16" s="140">
        <v>0.45</v>
      </c>
      <c r="M16" s="140">
        <v>0.25</v>
      </c>
      <c r="N16" s="140">
        <v>0.75</v>
      </c>
    </row>
    <row r="17">
      <c r="I17" s="128" t="s">
        <v>16</v>
      </c>
      <c r="J17" s="140">
        <v>1.0</v>
      </c>
      <c r="K17" s="140">
        <v>0.65</v>
      </c>
      <c r="L17" s="140">
        <v>0.45</v>
      </c>
      <c r="M17" s="140">
        <v>0.25</v>
      </c>
      <c r="N17" s="140">
        <v>0.75</v>
      </c>
    </row>
    <row r="18">
      <c r="I18" s="128" t="s">
        <v>17</v>
      </c>
      <c r="J18" s="140">
        <v>1.0</v>
      </c>
      <c r="K18" s="140">
        <v>0.65</v>
      </c>
      <c r="L18" s="140">
        <v>0.45</v>
      </c>
      <c r="M18" s="140">
        <v>0.25</v>
      </c>
      <c r="N18" s="140">
        <v>0.75</v>
      </c>
    </row>
    <row r="19">
      <c r="I19" s="128" t="s">
        <v>18</v>
      </c>
      <c r="J19" s="140">
        <v>1.0</v>
      </c>
      <c r="K19" s="140">
        <v>0.75</v>
      </c>
      <c r="L19" s="140">
        <v>0.55</v>
      </c>
      <c r="M19" s="140">
        <v>0.35</v>
      </c>
      <c r="N19" s="140">
        <v>0.75</v>
      </c>
    </row>
    <row r="20">
      <c r="I20" s="128" t="s">
        <v>19</v>
      </c>
      <c r="J20" s="140">
        <v>1.0</v>
      </c>
      <c r="K20" s="140">
        <v>0.75</v>
      </c>
      <c r="L20" s="140">
        <v>0.55</v>
      </c>
      <c r="M20" s="140">
        <v>0.35</v>
      </c>
      <c r="N20" s="140">
        <v>0.75</v>
      </c>
    </row>
    <row r="21">
      <c r="I21" s="128" t="s">
        <v>20</v>
      </c>
      <c r="J21" s="140">
        <v>1.0</v>
      </c>
      <c r="K21" s="140">
        <v>0.75</v>
      </c>
      <c r="L21" s="140">
        <v>0.55</v>
      </c>
      <c r="M21" s="140">
        <v>0.35</v>
      </c>
      <c r="N21" s="140">
        <v>0.75</v>
      </c>
    </row>
    <row r="22">
      <c r="I22" s="128" t="s">
        <v>21</v>
      </c>
      <c r="J22" s="140">
        <v>1.0</v>
      </c>
      <c r="K22" s="140">
        <v>0.75</v>
      </c>
      <c r="L22" s="140">
        <v>0.55</v>
      </c>
      <c r="M22" s="140">
        <v>0.35</v>
      </c>
      <c r="N22" s="140">
        <v>0.95</v>
      </c>
    </row>
    <row r="23">
      <c r="I23" s="128" t="s">
        <v>22</v>
      </c>
      <c r="J23" s="140">
        <v>1.0</v>
      </c>
      <c r="K23" s="140">
        <v>0.75</v>
      </c>
      <c r="L23" s="140">
        <v>0.55</v>
      </c>
      <c r="M23" s="140">
        <v>0.35</v>
      </c>
      <c r="N23" s="140">
        <v>0.95</v>
      </c>
    </row>
    <row r="24">
      <c r="I24" s="128" t="s">
        <v>23</v>
      </c>
      <c r="J24" s="140">
        <v>1.0</v>
      </c>
      <c r="K24" s="140">
        <v>0.85</v>
      </c>
      <c r="L24" s="140">
        <v>0.65</v>
      </c>
      <c r="M24" s="140">
        <v>0.55</v>
      </c>
      <c r="N24" s="140">
        <v>0.95</v>
      </c>
    </row>
    <row r="25">
      <c r="I25" s="128" t="s">
        <v>24</v>
      </c>
      <c r="J25" s="140">
        <v>1.0</v>
      </c>
      <c r="K25" s="140">
        <v>0.85</v>
      </c>
      <c r="L25" s="140">
        <v>0.65</v>
      </c>
      <c r="M25" s="140">
        <v>0.55</v>
      </c>
      <c r="N25" s="140">
        <v>0.95</v>
      </c>
    </row>
    <row r="26">
      <c r="I26" s="128" t="s">
        <v>26</v>
      </c>
      <c r="J26" s="140">
        <v>1.0</v>
      </c>
      <c r="K26" s="140">
        <v>0.85</v>
      </c>
      <c r="L26" s="140">
        <v>0.65</v>
      </c>
      <c r="M26" s="140">
        <v>0.65</v>
      </c>
      <c r="N26" s="140">
        <v>0.95</v>
      </c>
    </row>
    <row r="27">
      <c r="I27" s="128" t="s">
        <v>67</v>
      </c>
      <c r="J27" s="140" t="s">
        <v>68</v>
      </c>
      <c r="K27" s="140" t="s">
        <v>68</v>
      </c>
      <c r="L27" s="140" t="s">
        <v>68</v>
      </c>
      <c r="M27" s="140" t="s">
        <v>68</v>
      </c>
      <c r="N27" s="140" t="s">
        <v>68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</sheetPr>
  <sheetViews>
    <sheetView workbookViewId="0"/>
  </sheetViews>
  <sheetFormatPr customHeight="1" defaultColWidth="12.63" defaultRowHeight="15.75" outlineLevelCol="1"/>
  <cols>
    <col hidden="1" min="1" max="13" width="12.63" outlineLevel="1"/>
    <col collapsed="1" min="14" max="14" width="12.63"/>
  </cols>
  <sheetData>
    <row r="2">
      <c r="O2" s="120" t="s">
        <v>84</v>
      </c>
      <c r="P2" s="121"/>
      <c r="Q2" s="121"/>
      <c r="R2" s="121"/>
      <c r="S2" s="121"/>
      <c r="T2" s="122"/>
    </row>
    <row r="3">
      <c r="O3" s="123" t="s">
        <v>85</v>
      </c>
      <c r="P3" s="6"/>
      <c r="Q3" s="6"/>
      <c r="R3" s="6"/>
      <c r="S3" s="6"/>
      <c r="T3" s="124"/>
    </row>
    <row r="4">
      <c r="A4" s="3" t="s">
        <v>86</v>
      </c>
      <c r="H4" s="3" t="s">
        <v>87</v>
      </c>
      <c r="O4" s="125" t="s">
        <v>88</v>
      </c>
      <c r="P4" s="126"/>
      <c r="Q4" s="126"/>
      <c r="R4" s="126"/>
      <c r="S4" s="126"/>
      <c r="T4" s="127"/>
    </row>
    <row r="5">
      <c r="A5" s="139"/>
      <c r="B5" s="128"/>
      <c r="C5" s="128" t="s">
        <v>33</v>
      </c>
      <c r="D5" s="128" t="s">
        <v>81</v>
      </c>
      <c r="E5" s="128" t="s">
        <v>32</v>
      </c>
      <c r="H5" s="139"/>
      <c r="I5" s="128"/>
      <c r="J5" s="128" t="s">
        <v>33</v>
      </c>
      <c r="K5" s="128" t="s">
        <v>81</v>
      </c>
      <c r="L5" s="128" t="s">
        <v>32</v>
      </c>
    </row>
    <row r="6">
      <c r="A6" s="128" t="s">
        <v>83</v>
      </c>
      <c r="B6" s="140"/>
      <c r="C6" s="140">
        <v>1.4</v>
      </c>
      <c r="D6" s="140">
        <v>2.0</v>
      </c>
      <c r="E6" s="140">
        <v>2.5</v>
      </c>
      <c r="H6" s="128" t="s">
        <v>83</v>
      </c>
      <c r="I6" s="140"/>
      <c r="J6" s="140">
        <v>0.65</v>
      </c>
      <c r="K6" s="140">
        <v>0.45</v>
      </c>
      <c r="L6" s="140">
        <v>0.25</v>
      </c>
    </row>
    <row r="7">
      <c r="A7" s="128" t="s">
        <v>13</v>
      </c>
      <c r="B7" s="140"/>
      <c r="C7" s="140">
        <v>1.4</v>
      </c>
      <c r="D7" s="140">
        <v>2.0</v>
      </c>
      <c r="E7" s="140">
        <v>2.5</v>
      </c>
      <c r="H7" s="128" t="s">
        <v>13</v>
      </c>
      <c r="I7" s="140"/>
      <c r="J7" s="140">
        <v>0.65</v>
      </c>
      <c r="K7" s="140">
        <v>0.45</v>
      </c>
      <c r="L7" s="140">
        <v>0.25</v>
      </c>
      <c r="O7" s="129" t="s">
        <v>89</v>
      </c>
      <c r="P7" s="130"/>
      <c r="Q7" s="130"/>
      <c r="R7" s="130"/>
      <c r="S7" s="131"/>
      <c r="U7" s="3" t="s">
        <v>86</v>
      </c>
      <c r="AB7" s="128" t="s">
        <v>83</v>
      </c>
      <c r="AC7" s="128" t="s">
        <v>13</v>
      </c>
      <c r="AD7" s="128" t="s">
        <v>14</v>
      </c>
      <c r="AE7" s="128" t="s">
        <v>15</v>
      </c>
      <c r="AF7" s="128" t="s">
        <v>16</v>
      </c>
      <c r="AG7" s="128" t="s">
        <v>17</v>
      </c>
      <c r="AH7" s="128" t="s">
        <v>18</v>
      </c>
      <c r="AI7" s="128" t="s">
        <v>19</v>
      </c>
      <c r="AJ7" s="128" t="s">
        <v>20</v>
      </c>
      <c r="AK7" s="128" t="s">
        <v>21</v>
      </c>
      <c r="AL7" s="128" t="s">
        <v>22</v>
      </c>
      <c r="AM7" s="128" t="s">
        <v>23</v>
      </c>
      <c r="AN7" s="128" t="s">
        <v>24</v>
      </c>
      <c r="AO7" s="128" t="s">
        <v>26</v>
      </c>
      <c r="AP7" s="3" t="s">
        <v>67</v>
      </c>
    </row>
    <row r="8">
      <c r="A8" s="128" t="s">
        <v>14</v>
      </c>
      <c r="B8" s="140"/>
      <c r="C8" s="140">
        <v>1.4</v>
      </c>
      <c r="D8" s="140">
        <v>2.0</v>
      </c>
      <c r="E8" s="140">
        <v>2.5</v>
      </c>
      <c r="H8" s="128" t="s">
        <v>14</v>
      </c>
      <c r="I8" s="140"/>
      <c r="J8" s="140">
        <v>0.65</v>
      </c>
      <c r="K8" s="140">
        <v>0.45</v>
      </c>
      <c r="L8" s="140">
        <v>0.25</v>
      </c>
      <c r="O8" s="141"/>
      <c r="P8" s="142"/>
      <c r="Q8" s="142"/>
      <c r="R8" s="142"/>
      <c r="S8" s="143"/>
      <c r="U8" s="139"/>
      <c r="V8" s="128"/>
      <c r="W8" s="128" t="s">
        <v>33</v>
      </c>
      <c r="X8" s="128" t="s">
        <v>81</v>
      </c>
      <c r="Y8" s="128" t="s">
        <v>32</v>
      </c>
      <c r="AA8" s="128" t="s">
        <v>81</v>
      </c>
      <c r="AB8" s="140">
        <v>2.0</v>
      </c>
      <c r="AC8" s="140">
        <v>2.0</v>
      </c>
      <c r="AD8" s="140">
        <v>2.0</v>
      </c>
      <c r="AE8" s="140">
        <v>2.0</v>
      </c>
      <c r="AF8" s="140">
        <v>1.8</v>
      </c>
      <c r="AG8" s="140">
        <v>1.8</v>
      </c>
      <c r="AH8" s="140">
        <v>1.6</v>
      </c>
      <c r="AI8" s="140">
        <v>1.6</v>
      </c>
      <c r="AJ8" s="140">
        <v>1.6</v>
      </c>
      <c r="AK8" s="140">
        <v>1.45</v>
      </c>
      <c r="AL8" s="140">
        <v>1.45</v>
      </c>
      <c r="AM8" s="140">
        <v>1.4</v>
      </c>
      <c r="AN8" s="140">
        <v>1.4</v>
      </c>
      <c r="AO8" s="140">
        <v>1.4</v>
      </c>
      <c r="AP8" s="3" t="s">
        <v>68</v>
      </c>
    </row>
    <row r="9">
      <c r="A9" s="128" t="s">
        <v>15</v>
      </c>
      <c r="B9" s="140"/>
      <c r="C9" s="140">
        <v>1.4</v>
      </c>
      <c r="D9" s="140">
        <v>2.0</v>
      </c>
      <c r="E9" s="140">
        <v>2.5</v>
      </c>
      <c r="H9" s="128" t="s">
        <v>15</v>
      </c>
      <c r="I9" s="140"/>
      <c r="J9" s="140">
        <v>0.65</v>
      </c>
      <c r="K9" s="140">
        <v>0.45</v>
      </c>
      <c r="L9" s="140">
        <v>0.25</v>
      </c>
      <c r="O9" s="141" t="s">
        <v>90</v>
      </c>
      <c r="P9" s="142"/>
      <c r="Q9" s="142"/>
      <c r="R9" s="142"/>
      <c r="S9" s="143"/>
      <c r="U9" s="128" t="s">
        <v>83</v>
      </c>
      <c r="V9" s="140"/>
      <c r="W9" s="140">
        <v>1.4</v>
      </c>
      <c r="X9" s="140">
        <v>2.0</v>
      </c>
      <c r="Y9" s="140">
        <v>2.5</v>
      </c>
      <c r="AA9" s="128" t="s">
        <v>33</v>
      </c>
      <c r="AB9" s="140">
        <v>1.4</v>
      </c>
      <c r="AC9" s="140">
        <v>1.4</v>
      </c>
      <c r="AD9" s="140">
        <v>1.4</v>
      </c>
      <c r="AE9" s="140">
        <v>1.4</v>
      </c>
      <c r="AF9" s="140">
        <v>1.3</v>
      </c>
      <c r="AG9" s="140">
        <v>1.3</v>
      </c>
      <c r="AH9" s="140">
        <v>1.25</v>
      </c>
      <c r="AI9" s="140">
        <v>1.25</v>
      </c>
      <c r="AJ9" s="140">
        <v>1.25</v>
      </c>
      <c r="AK9" s="140">
        <v>1.2</v>
      </c>
      <c r="AL9" s="140">
        <v>1.2</v>
      </c>
      <c r="AM9" s="140">
        <v>1.15</v>
      </c>
      <c r="AN9" s="140">
        <v>1.15</v>
      </c>
      <c r="AO9" s="140">
        <v>1.15</v>
      </c>
      <c r="AP9" s="3" t="s">
        <v>68</v>
      </c>
    </row>
    <row r="10">
      <c r="A10" s="128" t="s">
        <v>16</v>
      </c>
      <c r="B10" s="140"/>
      <c r="C10" s="140">
        <v>1.3</v>
      </c>
      <c r="D10" s="140">
        <v>1.8</v>
      </c>
      <c r="E10" s="140">
        <v>2.2</v>
      </c>
      <c r="H10" s="128" t="s">
        <v>16</v>
      </c>
      <c r="I10" s="140"/>
      <c r="J10" s="140">
        <v>0.65</v>
      </c>
      <c r="K10" s="140">
        <v>0.45</v>
      </c>
      <c r="L10" s="140">
        <v>0.25</v>
      </c>
      <c r="O10" s="141" t="s">
        <v>91</v>
      </c>
      <c r="P10" s="142"/>
      <c r="Q10" s="142"/>
      <c r="R10" s="142"/>
      <c r="S10" s="143"/>
      <c r="U10" s="128" t="s">
        <v>13</v>
      </c>
      <c r="V10" s="140"/>
      <c r="W10" s="140">
        <v>1.4</v>
      </c>
      <c r="X10" s="140">
        <v>2.0</v>
      </c>
      <c r="Y10" s="140">
        <v>2.5</v>
      </c>
      <c r="AA10" s="128" t="s">
        <v>32</v>
      </c>
      <c r="AB10" s="140">
        <v>2.5</v>
      </c>
      <c r="AC10" s="140">
        <v>2.5</v>
      </c>
      <c r="AD10" s="140">
        <v>2.5</v>
      </c>
      <c r="AE10" s="140">
        <v>2.5</v>
      </c>
      <c r="AF10" s="140">
        <v>2.2</v>
      </c>
      <c r="AG10" s="140">
        <v>2.2</v>
      </c>
      <c r="AH10" s="140">
        <v>2.0</v>
      </c>
      <c r="AI10" s="140">
        <v>2.0</v>
      </c>
      <c r="AJ10" s="140">
        <v>2.0</v>
      </c>
      <c r="AK10" s="140">
        <v>1.7</v>
      </c>
      <c r="AL10" s="140">
        <v>1.7</v>
      </c>
      <c r="AM10" s="140">
        <v>1.5</v>
      </c>
      <c r="AN10" s="140">
        <v>1.5</v>
      </c>
      <c r="AO10" s="140">
        <v>1.3</v>
      </c>
      <c r="AP10" s="3" t="s">
        <v>68</v>
      </c>
    </row>
    <row r="11">
      <c r="A11" s="128" t="s">
        <v>17</v>
      </c>
      <c r="B11" s="140"/>
      <c r="C11" s="140">
        <v>1.3</v>
      </c>
      <c r="D11" s="140">
        <v>1.8</v>
      </c>
      <c r="E11" s="140">
        <v>2.2</v>
      </c>
      <c r="H11" s="128" t="s">
        <v>17</v>
      </c>
      <c r="I11" s="140"/>
      <c r="J11" s="140">
        <v>0.65</v>
      </c>
      <c r="K11" s="140">
        <v>0.45</v>
      </c>
      <c r="L11" s="140">
        <v>0.25</v>
      </c>
      <c r="O11" s="144" t="s">
        <v>92</v>
      </c>
      <c r="P11" s="145"/>
      <c r="Q11" s="145"/>
      <c r="R11" s="145"/>
      <c r="S11" s="146"/>
      <c r="U11" s="128" t="s">
        <v>14</v>
      </c>
      <c r="V11" s="140"/>
      <c r="W11" s="140">
        <v>1.4</v>
      </c>
      <c r="X11" s="140">
        <v>2.0</v>
      </c>
      <c r="Y11" s="140">
        <v>2.5</v>
      </c>
    </row>
    <row r="12">
      <c r="A12" s="128" t="s">
        <v>18</v>
      </c>
      <c r="B12" s="140"/>
      <c r="C12" s="140">
        <v>1.25</v>
      </c>
      <c r="D12" s="140">
        <v>1.6</v>
      </c>
      <c r="E12" s="140">
        <v>2.0</v>
      </c>
      <c r="H12" s="128" t="s">
        <v>18</v>
      </c>
      <c r="I12" s="140"/>
      <c r="J12" s="140">
        <v>0.75</v>
      </c>
      <c r="K12" s="140">
        <v>0.55</v>
      </c>
      <c r="L12" s="140">
        <v>0.35</v>
      </c>
      <c r="U12" s="128" t="s">
        <v>15</v>
      </c>
      <c r="V12" s="140"/>
      <c r="W12" s="140">
        <v>1.4</v>
      </c>
      <c r="X12" s="140">
        <v>2.0</v>
      </c>
      <c r="Y12" s="140">
        <v>2.5</v>
      </c>
    </row>
    <row r="13">
      <c r="A13" s="128" t="s">
        <v>19</v>
      </c>
      <c r="B13" s="140"/>
      <c r="C13" s="140">
        <v>1.25</v>
      </c>
      <c r="D13" s="140">
        <v>1.6</v>
      </c>
      <c r="E13" s="140">
        <v>2.0</v>
      </c>
      <c r="H13" s="128" t="s">
        <v>19</v>
      </c>
      <c r="I13" s="140"/>
      <c r="J13" s="140">
        <v>0.75</v>
      </c>
      <c r="K13" s="140">
        <v>0.55</v>
      </c>
      <c r="L13" s="140">
        <v>0.35</v>
      </c>
      <c r="U13" s="128" t="s">
        <v>16</v>
      </c>
      <c r="V13" s="140"/>
      <c r="W13" s="140">
        <v>1.3</v>
      </c>
      <c r="X13" s="140">
        <v>1.8</v>
      </c>
      <c r="Y13" s="140">
        <v>2.2</v>
      </c>
    </row>
    <row r="14">
      <c r="A14" s="128" t="s">
        <v>20</v>
      </c>
      <c r="B14" s="140"/>
      <c r="C14" s="140">
        <v>1.25</v>
      </c>
      <c r="D14" s="140">
        <v>1.6</v>
      </c>
      <c r="E14" s="140">
        <v>2.0</v>
      </c>
      <c r="H14" s="128" t="s">
        <v>20</v>
      </c>
      <c r="I14" s="140"/>
      <c r="J14" s="140">
        <v>0.75</v>
      </c>
      <c r="K14" s="140">
        <v>0.55</v>
      </c>
      <c r="L14" s="140">
        <v>0.35</v>
      </c>
      <c r="U14" s="128" t="s">
        <v>17</v>
      </c>
      <c r="V14" s="140"/>
      <c r="W14" s="140">
        <v>1.3</v>
      </c>
      <c r="X14" s="140">
        <v>1.8</v>
      </c>
      <c r="Y14" s="140">
        <v>2.2</v>
      </c>
    </row>
    <row r="15">
      <c r="A15" s="128" t="s">
        <v>21</v>
      </c>
      <c r="B15" s="140"/>
      <c r="C15" s="140">
        <v>1.2</v>
      </c>
      <c r="D15" s="140">
        <v>1.45</v>
      </c>
      <c r="E15" s="140">
        <v>1.7</v>
      </c>
      <c r="H15" s="128" t="s">
        <v>21</v>
      </c>
      <c r="I15" s="140"/>
      <c r="J15" s="140">
        <v>0.75</v>
      </c>
      <c r="K15" s="140">
        <v>0.55</v>
      </c>
      <c r="L15" s="140">
        <v>0.35</v>
      </c>
      <c r="U15" s="128" t="s">
        <v>18</v>
      </c>
      <c r="V15" s="140"/>
      <c r="W15" s="140">
        <v>1.25</v>
      </c>
      <c r="X15" s="140">
        <v>1.6</v>
      </c>
      <c r="Y15" s="140">
        <v>2.0</v>
      </c>
    </row>
    <row r="16">
      <c r="A16" s="128" t="s">
        <v>22</v>
      </c>
      <c r="B16" s="140"/>
      <c r="C16" s="140">
        <v>1.2</v>
      </c>
      <c r="D16" s="140">
        <v>1.45</v>
      </c>
      <c r="E16" s="140">
        <v>1.7</v>
      </c>
      <c r="H16" s="128" t="s">
        <v>22</v>
      </c>
      <c r="I16" s="140"/>
      <c r="J16" s="140">
        <v>0.75</v>
      </c>
      <c r="K16" s="140">
        <v>0.55</v>
      </c>
      <c r="L16" s="140">
        <v>0.35</v>
      </c>
      <c r="U16" s="128" t="s">
        <v>19</v>
      </c>
      <c r="V16" s="140"/>
      <c r="W16" s="140">
        <v>1.25</v>
      </c>
      <c r="X16" s="140">
        <v>1.6</v>
      </c>
      <c r="Y16" s="140">
        <v>2.0</v>
      </c>
    </row>
    <row r="17">
      <c r="A17" s="128" t="s">
        <v>23</v>
      </c>
      <c r="B17" s="140"/>
      <c r="C17" s="140">
        <v>1.15</v>
      </c>
      <c r="D17" s="140">
        <v>1.4</v>
      </c>
      <c r="E17" s="140">
        <v>1.5</v>
      </c>
      <c r="H17" s="128" t="s">
        <v>23</v>
      </c>
      <c r="I17" s="140"/>
      <c r="J17" s="140">
        <v>0.85</v>
      </c>
      <c r="K17" s="140">
        <v>0.65</v>
      </c>
      <c r="L17" s="140">
        <v>0.55</v>
      </c>
      <c r="U17" s="128" t="s">
        <v>20</v>
      </c>
      <c r="V17" s="140"/>
      <c r="W17" s="140">
        <v>1.25</v>
      </c>
      <c r="X17" s="140">
        <v>1.6</v>
      </c>
      <c r="Y17" s="140">
        <v>2.0</v>
      </c>
    </row>
    <row r="18">
      <c r="A18" s="128" t="s">
        <v>24</v>
      </c>
      <c r="B18" s="140"/>
      <c r="C18" s="140">
        <v>1.15</v>
      </c>
      <c r="D18" s="140">
        <v>1.4</v>
      </c>
      <c r="E18" s="140">
        <v>1.5</v>
      </c>
      <c r="H18" s="128" t="s">
        <v>24</v>
      </c>
      <c r="I18" s="140"/>
      <c r="J18" s="140">
        <v>0.85</v>
      </c>
      <c r="K18" s="140">
        <v>0.65</v>
      </c>
      <c r="L18" s="140">
        <v>0.55</v>
      </c>
      <c r="U18" s="128" t="s">
        <v>21</v>
      </c>
      <c r="V18" s="140"/>
      <c r="W18" s="140">
        <v>1.2</v>
      </c>
      <c r="X18" s="140">
        <v>1.45</v>
      </c>
      <c r="Y18" s="140">
        <v>1.7</v>
      </c>
    </row>
    <row r="19">
      <c r="A19" s="128" t="s">
        <v>26</v>
      </c>
      <c r="B19" s="140"/>
      <c r="C19" s="140">
        <v>1.15</v>
      </c>
      <c r="D19" s="140">
        <v>1.4</v>
      </c>
      <c r="E19" s="140">
        <v>1.3</v>
      </c>
      <c r="H19" s="128" t="s">
        <v>26</v>
      </c>
      <c r="I19" s="140"/>
      <c r="J19" s="140">
        <v>0.85</v>
      </c>
      <c r="K19" s="140">
        <v>0.65</v>
      </c>
      <c r="L19" s="140">
        <v>0.65</v>
      </c>
      <c r="U19" s="128" t="s">
        <v>22</v>
      </c>
      <c r="V19" s="140"/>
      <c r="W19" s="140">
        <v>1.2</v>
      </c>
      <c r="X19" s="140">
        <v>1.45</v>
      </c>
      <c r="Y19" s="140">
        <v>1.7</v>
      </c>
    </row>
    <row r="20">
      <c r="H20" s="128"/>
      <c r="I20" s="140"/>
      <c r="J20" s="140"/>
      <c r="K20" s="140"/>
      <c r="L20" s="140"/>
      <c r="U20" s="128" t="s">
        <v>23</v>
      </c>
      <c r="V20" s="140"/>
      <c r="W20" s="140">
        <v>1.15</v>
      </c>
      <c r="X20" s="140">
        <v>1.4</v>
      </c>
      <c r="Y20" s="140">
        <v>1.5</v>
      </c>
    </row>
    <row r="21">
      <c r="U21" s="128" t="s">
        <v>24</v>
      </c>
      <c r="V21" s="140"/>
      <c r="W21" s="140">
        <v>1.15</v>
      </c>
      <c r="X21" s="140">
        <v>1.4</v>
      </c>
      <c r="Y21" s="140">
        <v>1.5</v>
      </c>
    </row>
    <row r="22">
      <c r="B22" s="3">
        <v>0.0</v>
      </c>
      <c r="U22" s="128" t="s">
        <v>26</v>
      </c>
      <c r="V22" s="140"/>
      <c r="W22" s="140">
        <v>1.15</v>
      </c>
      <c r="X22" s="140">
        <v>1.4</v>
      </c>
      <c r="Y22" s="140">
        <v>1.3</v>
      </c>
    </row>
    <row r="23">
      <c r="B23" s="3" t="s">
        <v>6</v>
      </c>
      <c r="E23" s="128" t="s">
        <v>33</v>
      </c>
      <c r="F23" s="128" t="s">
        <v>81</v>
      </c>
      <c r="G23" s="128" t="s">
        <v>32</v>
      </c>
      <c r="I23" s="128" t="s">
        <v>33</v>
      </c>
      <c r="J23" s="128" t="s">
        <v>81</v>
      </c>
      <c r="K23" s="128" t="s">
        <v>32</v>
      </c>
      <c r="U23" s="3" t="s">
        <v>67</v>
      </c>
    </row>
    <row r="24">
      <c r="A24" s="128" t="s">
        <v>83</v>
      </c>
      <c r="B24" s="3">
        <f t="shared" ref="B24:B38" si="3">C24+$B$22</f>
        <v>4</v>
      </c>
      <c r="C24" s="3">
        <v>4.0</v>
      </c>
      <c r="E24" s="4">
        <f t="shared" ref="E24:G24" si="1">1+(C6-1)*(1-$B24/500)</f>
        <v>1.3968</v>
      </c>
      <c r="F24" s="4">
        <f t="shared" si="1"/>
        <v>1.992</v>
      </c>
      <c r="G24" s="4">
        <f t="shared" si="1"/>
        <v>2.488</v>
      </c>
      <c r="H24" s="128" t="s">
        <v>83</v>
      </c>
      <c r="I24" s="4">
        <f t="shared" ref="I24:K24" si="2">J6+((1-J6)*0.5*$B24/400)</f>
        <v>0.65175</v>
      </c>
      <c r="J24" s="4">
        <f t="shared" si="2"/>
        <v>0.45275</v>
      </c>
      <c r="K24" s="4">
        <f t="shared" si="2"/>
        <v>0.25375</v>
      </c>
    </row>
    <row r="25">
      <c r="A25" s="128" t="s">
        <v>13</v>
      </c>
      <c r="B25" s="3">
        <f t="shared" si="3"/>
        <v>4</v>
      </c>
      <c r="C25" s="3">
        <v>4.0</v>
      </c>
      <c r="E25" s="4">
        <f t="shared" ref="E25:G25" si="4">1+(C7-1)*(1-$B25/500)</f>
        <v>1.3968</v>
      </c>
      <c r="F25" s="4">
        <f t="shared" si="4"/>
        <v>1.992</v>
      </c>
      <c r="G25" s="4">
        <f t="shared" si="4"/>
        <v>2.488</v>
      </c>
      <c r="H25" s="128" t="s">
        <v>13</v>
      </c>
      <c r="I25" s="4">
        <f t="shared" ref="I25:K25" si="5">J7+((1-J7)*0.5*$B25/400)</f>
        <v>0.65175</v>
      </c>
      <c r="J25" s="4">
        <f t="shared" si="5"/>
        <v>0.45275</v>
      </c>
      <c r="K25" s="4">
        <f t="shared" si="5"/>
        <v>0.25375</v>
      </c>
      <c r="O25" s="129" t="s">
        <v>93</v>
      </c>
      <c r="P25" s="130"/>
      <c r="Q25" s="130"/>
      <c r="R25" s="130"/>
      <c r="S25" s="131"/>
      <c r="U25" s="3" t="s">
        <v>87</v>
      </c>
    </row>
    <row r="26">
      <c r="A26" s="128" t="s">
        <v>14</v>
      </c>
      <c r="B26" s="3">
        <f t="shared" si="3"/>
        <v>4</v>
      </c>
      <c r="C26" s="3">
        <v>4.0</v>
      </c>
      <c r="E26" s="4">
        <f t="shared" ref="E26:G26" si="6">1+(C8-1)*(1-$B26/500)</f>
        <v>1.3968</v>
      </c>
      <c r="F26" s="4">
        <f t="shared" si="6"/>
        <v>1.992</v>
      </c>
      <c r="G26" s="4">
        <f t="shared" si="6"/>
        <v>2.488</v>
      </c>
      <c r="H26" s="128" t="s">
        <v>14</v>
      </c>
      <c r="I26" s="4">
        <f t="shared" ref="I26:K26" si="7">J8+((1-J8)*0.5*$B26/400)</f>
        <v>0.65175</v>
      </c>
      <c r="J26" s="4">
        <f t="shared" si="7"/>
        <v>0.45275</v>
      </c>
      <c r="K26" s="4">
        <f t="shared" si="7"/>
        <v>0.25375</v>
      </c>
      <c r="O26" s="141"/>
      <c r="P26" s="142"/>
      <c r="Q26" s="142"/>
      <c r="R26" s="142"/>
      <c r="S26" s="143"/>
      <c r="U26" s="139"/>
      <c r="V26" s="128"/>
      <c r="W26" s="128" t="s">
        <v>33</v>
      </c>
      <c r="X26" s="128" t="s">
        <v>81</v>
      </c>
      <c r="Y26" s="128" t="s">
        <v>32</v>
      </c>
      <c r="AB26" s="128" t="s">
        <v>83</v>
      </c>
      <c r="AC26" s="128" t="s">
        <v>13</v>
      </c>
      <c r="AD26" s="128" t="s">
        <v>14</v>
      </c>
      <c r="AE26" s="128" t="s">
        <v>15</v>
      </c>
      <c r="AF26" s="128" t="s">
        <v>16</v>
      </c>
      <c r="AG26" s="128" t="s">
        <v>17</v>
      </c>
      <c r="AH26" s="128" t="s">
        <v>18</v>
      </c>
      <c r="AI26" s="128" t="s">
        <v>19</v>
      </c>
      <c r="AJ26" s="128" t="s">
        <v>20</v>
      </c>
      <c r="AK26" s="128" t="s">
        <v>21</v>
      </c>
      <c r="AL26" s="128" t="s">
        <v>22</v>
      </c>
      <c r="AM26" s="128" t="s">
        <v>23</v>
      </c>
      <c r="AN26" s="128" t="s">
        <v>24</v>
      </c>
      <c r="AO26" s="128" t="s">
        <v>26</v>
      </c>
      <c r="AP26" s="3" t="s">
        <v>67</v>
      </c>
    </row>
    <row r="27">
      <c r="A27" s="128" t="s">
        <v>15</v>
      </c>
      <c r="B27" s="3">
        <f t="shared" si="3"/>
        <v>4</v>
      </c>
      <c r="C27" s="3">
        <v>4.0</v>
      </c>
      <c r="E27" s="4">
        <f t="shared" ref="E27:G27" si="8">1+(C9-1)*(1-$B27/500)</f>
        <v>1.3968</v>
      </c>
      <c r="F27" s="4">
        <f t="shared" si="8"/>
        <v>1.992</v>
      </c>
      <c r="G27" s="4">
        <f t="shared" si="8"/>
        <v>2.488</v>
      </c>
      <c r="H27" s="128" t="s">
        <v>15</v>
      </c>
      <c r="I27" s="4">
        <f t="shared" ref="I27:K27" si="9">J9+((1-J9)*0.5*$B27/400)</f>
        <v>0.65175</v>
      </c>
      <c r="J27" s="4">
        <f t="shared" si="9"/>
        <v>0.45275</v>
      </c>
      <c r="K27" s="4">
        <f t="shared" si="9"/>
        <v>0.25375</v>
      </c>
      <c r="O27" s="141" t="s">
        <v>94</v>
      </c>
      <c r="P27" s="142"/>
      <c r="Q27" s="142"/>
      <c r="R27" s="142"/>
      <c r="S27" s="143"/>
      <c r="U27" s="128" t="s">
        <v>83</v>
      </c>
      <c r="V27" s="140"/>
      <c r="W27" s="140">
        <v>0.65</v>
      </c>
      <c r="X27" s="140">
        <v>0.45</v>
      </c>
      <c r="Y27" s="140">
        <v>0.25</v>
      </c>
      <c r="AA27" s="128" t="s">
        <v>81</v>
      </c>
      <c r="AB27" s="140">
        <v>0.45</v>
      </c>
      <c r="AC27" s="140">
        <v>0.45</v>
      </c>
      <c r="AD27" s="140">
        <v>0.45</v>
      </c>
      <c r="AE27" s="140">
        <v>0.45</v>
      </c>
      <c r="AF27" s="140">
        <v>0.45</v>
      </c>
      <c r="AG27" s="140">
        <v>0.45</v>
      </c>
      <c r="AH27" s="140">
        <v>0.55</v>
      </c>
      <c r="AI27" s="140">
        <v>0.55</v>
      </c>
      <c r="AJ27" s="140">
        <v>0.55</v>
      </c>
      <c r="AK27" s="140">
        <v>0.55</v>
      </c>
      <c r="AL27" s="140">
        <v>0.55</v>
      </c>
      <c r="AM27" s="140">
        <v>0.65</v>
      </c>
      <c r="AN27" s="140">
        <v>0.65</v>
      </c>
      <c r="AO27" s="140">
        <v>0.65</v>
      </c>
      <c r="AP27" s="3" t="s">
        <v>68</v>
      </c>
    </row>
    <row r="28">
      <c r="A28" s="128" t="s">
        <v>16</v>
      </c>
      <c r="B28" s="3">
        <f t="shared" si="3"/>
        <v>4</v>
      </c>
      <c r="C28" s="3">
        <v>4.0</v>
      </c>
      <c r="E28" s="4">
        <f t="shared" ref="E28:G28" si="10">1+(C10-1)*(1-$B28/500)</f>
        <v>1.2976</v>
      </c>
      <c r="F28" s="4">
        <f t="shared" si="10"/>
        <v>1.7936</v>
      </c>
      <c r="G28" s="4">
        <f t="shared" si="10"/>
        <v>2.1904</v>
      </c>
      <c r="H28" s="128" t="s">
        <v>16</v>
      </c>
      <c r="I28" s="4">
        <f t="shared" ref="I28:K28" si="11">J10+((1-J10)*0.5*$B28/400)</f>
        <v>0.65175</v>
      </c>
      <c r="J28" s="4">
        <f t="shared" si="11"/>
        <v>0.45275</v>
      </c>
      <c r="K28" s="4">
        <f t="shared" si="11"/>
        <v>0.25375</v>
      </c>
      <c r="O28" s="141" t="s">
        <v>95</v>
      </c>
      <c r="P28" s="142"/>
      <c r="Q28" s="142"/>
      <c r="R28" s="142"/>
      <c r="S28" s="143"/>
      <c r="U28" s="128" t="s">
        <v>13</v>
      </c>
      <c r="V28" s="140"/>
      <c r="W28" s="140">
        <v>0.65</v>
      </c>
      <c r="X28" s="140">
        <v>0.45</v>
      </c>
      <c r="Y28" s="140">
        <v>0.25</v>
      </c>
      <c r="AA28" s="128" t="s">
        <v>33</v>
      </c>
      <c r="AB28" s="140">
        <v>0.65</v>
      </c>
      <c r="AC28" s="140">
        <v>0.65</v>
      </c>
      <c r="AD28" s="140">
        <v>0.65</v>
      </c>
      <c r="AE28" s="140">
        <v>0.65</v>
      </c>
      <c r="AF28" s="140">
        <v>0.65</v>
      </c>
      <c r="AG28" s="140">
        <v>0.65</v>
      </c>
      <c r="AH28" s="140">
        <v>0.75</v>
      </c>
      <c r="AI28" s="140">
        <v>0.75</v>
      </c>
      <c r="AJ28" s="140">
        <v>0.75</v>
      </c>
      <c r="AK28" s="140">
        <v>0.75</v>
      </c>
      <c r="AL28" s="140">
        <v>0.75</v>
      </c>
      <c r="AM28" s="140">
        <v>0.85</v>
      </c>
      <c r="AN28" s="140">
        <v>0.85</v>
      </c>
      <c r="AO28" s="140">
        <v>0.85</v>
      </c>
      <c r="AP28" s="3" t="s">
        <v>68</v>
      </c>
    </row>
    <row r="29">
      <c r="A29" s="128" t="s">
        <v>17</v>
      </c>
      <c r="B29" s="3">
        <f t="shared" si="3"/>
        <v>4</v>
      </c>
      <c r="C29" s="3">
        <v>4.0</v>
      </c>
      <c r="E29" s="4">
        <f t="shared" ref="E29:G29" si="12">1+(C11-1)*(1-$B29/500)</f>
        <v>1.2976</v>
      </c>
      <c r="F29" s="4">
        <f t="shared" si="12"/>
        <v>1.7936</v>
      </c>
      <c r="G29" s="4">
        <f t="shared" si="12"/>
        <v>2.1904</v>
      </c>
      <c r="H29" s="128" t="s">
        <v>17</v>
      </c>
      <c r="I29" s="4">
        <f t="shared" ref="I29:K29" si="13">J11+((1-J11)*0.5*$B29/400)</f>
        <v>0.65175</v>
      </c>
      <c r="J29" s="4">
        <f t="shared" si="13"/>
        <v>0.45275</v>
      </c>
      <c r="K29" s="4">
        <f t="shared" si="13"/>
        <v>0.25375</v>
      </c>
      <c r="O29" s="144" t="s">
        <v>96</v>
      </c>
      <c r="P29" s="145"/>
      <c r="Q29" s="145"/>
      <c r="R29" s="145"/>
      <c r="S29" s="146"/>
      <c r="U29" s="128" t="s">
        <v>14</v>
      </c>
      <c r="V29" s="140"/>
      <c r="W29" s="140">
        <v>0.65</v>
      </c>
      <c r="X29" s="140">
        <v>0.45</v>
      </c>
      <c r="Y29" s="140">
        <v>0.25</v>
      </c>
      <c r="AA29" s="128" t="s">
        <v>32</v>
      </c>
      <c r="AB29" s="140">
        <v>0.25</v>
      </c>
      <c r="AC29" s="140">
        <v>0.25</v>
      </c>
      <c r="AD29" s="140">
        <v>0.25</v>
      </c>
      <c r="AE29" s="140">
        <v>0.25</v>
      </c>
      <c r="AF29" s="140">
        <v>0.25</v>
      </c>
      <c r="AG29" s="140">
        <v>0.25</v>
      </c>
      <c r="AH29" s="140">
        <v>0.35</v>
      </c>
      <c r="AI29" s="140">
        <v>0.35</v>
      </c>
      <c r="AJ29" s="140">
        <v>0.35</v>
      </c>
      <c r="AK29" s="140">
        <v>0.35</v>
      </c>
      <c r="AL29" s="140">
        <v>0.35</v>
      </c>
      <c r="AM29" s="140">
        <v>0.55</v>
      </c>
      <c r="AN29" s="140">
        <v>0.55</v>
      </c>
      <c r="AO29" s="140">
        <v>0.65</v>
      </c>
      <c r="AP29" s="3" t="s">
        <v>68</v>
      </c>
    </row>
    <row r="30">
      <c r="A30" s="128" t="s">
        <v>18</v>
      </c>
      <c r="B30" s="3">
        <f t="shared" si="3"/>
        <v>4</v>
      </c>
      <c r="C30" s="3">
        <v>4.0</v>
      </c>
      <c r="E30" s="4">
        <f t="shared" ref="E30:G30" si="14">1+(C12-1)*(1-$B30/500)</f>
        <v>1.248</v>
      </c>
      <c r="F30" s="4">
        <f t="shared" si="14"/>
        <v>1.5952</v>
      </c>
      <c r="G30" s="4">
        <f t="shared" si="14"/>
        <v>1.992</v>
      </c>
      <c r="H30" s="128" t="s">
        <v>18</v>
      </c>
      <c r="I30" s="4">
        <f t="shared" ref="I30:K30" si="15">J12+((1-J12)*0.5*$B30/400)</f>
        <v>0.75125</v>
      </c>
      <c r="J30" s="4">
        <f t="shared" si="15"/>
        <v>0.55225</v>
      </c>
      <c r="K30" s="4">
        <f t="shared" si="15"/>
        <v>0.35325</v>
      </c>
      <c r="U30" s="128" t="s">
        <v>15</v>
      </c>
      <c r="V30" s="140"/>
      <c r="W30" s="140">
        <v>0.65</v>
      </c>
      <c r="X30" s="140">
        <v>0.45</v>
      </c>
      <c r="Y30" s="140">
        <v>0.25</v>
      </c>
    </row>
    <row r="31">
      <c r="A31" s="128" t="s">
        <v>19</v>
      </c>
      <c r="B31" s="3">
        <f t="shared" si="3"/>
        <v>4</v>
      </c>
      <c r="C31" s="3">
        <v>4.0</v>
      </c>
      <c r="E31" s="4">
        <f t="shared" ref="E31:G31" si="16">1+(C13-1)*(1-$B31/500)</f>
        <v>1.248</v>
      </c>
      <c r="F31" s="4">
        <f t="shared" si="16"/>
        <v>1.5952</v>
      </c>
      <c r="G31" s="4">
        <f t="shared" si="16"/>
        <v>1.992</v>
      </c>
      <c r="H31" s="128" t="s">
        <v>19</v>
      </c>
      <c r="I31" s="4">
        <f t="shared" ref="I31:K31" si="17">J13+((1-J13)*0.5*$B31/400)</f>
        <v>0.75125</v>
      </c>
      <c r="J31" s="4">
        <f t="shared" si="17"/>
        <v>0.55225</v>
      </c>
      <c r="K31" s="4">
        <f t="shared" si="17"/>
        <v>0.35325</v>
      </c>
      <c r="U31" s="128" t="s">
        <v>16</v>
      </c>
      <c r="V31" s="140"/>
      <c r="W31" s="140">
        <v>0.65</v>
      </c>
      <c r="X31" s="140">
        <v>0.45</v>
      </c>
      <c r="Y31" s="140">
        <v>0.25</v>
      </c>
    </row>
    <row r="32">
      <c r="A32" s="128" t="s">
        <v>20</v>
      </c>
      <c r="B32" s="3">
        <f t="shared" si="3"/>
        <v>4</v>
      </c>
      <c r="C32" s="3">
        <v>4.0</v>
      </c>
      <c r="E32" s="4">
        <f t="shared" ref="E32:G32" si="18">1+(C14-1)*(1-$B32/500)</f>
        <v>1.248</v>
      </c>
      <c r="F32" s="4">
        <f t="shared" si="18"/>
        <v>1.5952</v>
      </c>
      <c r="G32" s="4">
        <f t="shared" si="18"/>
        <v>1.992</v>
      </c>
      <c r="H32" s="128" t="s">
        <v>20</v>
      </c>
      <c r="I32" s="4">
        <f t="shared" ref="I32:K32" si="19">J14+((1-J14)*0.5*$B32/400)</f>
        <v>0.75125</v>
      </c>
      <c r="J32" s="4">
        <f t="shared" si="19"/>
        <v>0.55225</v>
      </c>
      <c r="K32" s="4">
        <f t="shared" si="19"/>
        <v>0.35325</v>
      </c>
      <c r="U32" s="128" t="s">
        <v>17</v>
      </c>
      <c r="V32" s="140"/>
      <c r="W32" s="140">
        <v>0.65</v>
      </c>
      <c r="X32" s="140">
        <v>0.45</v>
      </c>
      <c r="Y32" s="140">
        <v>0.25</v>
      </c>
    </row>
    <row r="33">
      <c r="A33" s="128" t="s">
        <v>21</v>
      </c>
      <c r="B33" s="3">
        <f t="shared" si="3"/>
        <v>15</v>
      </c>
      <c r="C33" s="3">
        <v>15.0</v>
      </c>
      <c r="E33" s="4">
        <f t="shared" ref="E33:G33" si="20">1+(C15-1)*(1-$B33/500)</f>
        <v>1.194</v>
      </c>
      <c r="F33" s="4">
        <f t="shared" si="20"/>
        <v>1.4365</v>
      </c>
      <c r="G33" s="4">
        <f t="shared" si="20"/>
        <v>1.679</v>
      </c>
      <c r="H33" s="128" t="s">
        <v>21</v>
      </c>
      <c r="I33" s="4">
        <f t="shared" ref="I33:K33" si="21">J15+((1-J15)*0.5*$B33/400)</f>
        <v>0.7546875</v>
      </c>
      <c r="J33" s="4">
        <f t="shared" si="21"/>
        <v>0.5584375</v>
      </c>
      <c r="K33" s="4">
        <f t="shared" si="21"/>
        <v>0.3621875</v>
      </c>
      <c r="U33" s="128" t="s">
        <v>18</v>
      </c>
      <c r="V33" s="140"/>
      <c r="W33" s="140">
        <v>0.75</v>
      </c>
      <c r="X33" s="140">
        <v>0.55</v>
      </c>
      <c r="Y33" s="140">
        <v>0.35</v>
      </c>
    </row>
    <row r="34">
      <c r="A34" s="128" t="s">
        <v>22</v>
      </c>
      <c r="B34" s="3">
        <f t="shared" si="3"/>
        <v>15</v>
      </c>
      <c r="C34" s="3">
        <v>15.0</v>
      </c>
      <c r="E34" s="4">
        <f t="shared" ref="E34:G34" si="22">1+(C16-1)*(1-$B34/500)</f>
        <v>1.194</v>
      </c>
      <c r="F34" s="4">
        <f t="shared" si="22"/>
        <v>1.4365</v>
      </c>
      <c r="G34" s="4">
        <f t="shared" si="22"/>
        <v>1.679</v>
      </c>
      <c r="H34" s="128" t="s">
        <v>22</v>
      </c>
      <c r="I34" s="4">
        <f t="shared" ref="I34:K34" si="23">J16+((1-J16)*0.5*$B34/400)</f>
        <v>0.7546875</v>
      </c>
      <c r="J34" s="4">
        <f t="shared" si="23"/>
        <v>0.5584375</v>
      </c>
      <c r="K34" s="4">
        <f t="shared" si="23"/>
        <v>0.3621875</v>
      </c>
      <c r="U34" s="128" t="s">
        <v>19</v>
      </c>
      <c r="V34" s="140"/>
      <c r="W34" s="140">
        <v>0.75</v>
      </c>
      <c r="X34" s="140">
        <v>0.55</v>
      </c>
      <c r="Y34" s="140">
        <v>0.35</v>
      </c>
    </row>
    <row r="35">
      <c r="A35" s="128" t="s">
        <v>23</v>
      </c>
      <c r="B35" s="3">
        <f t="shared" si="3"/>
        <v>15</v>
      </c>
      <c r="C35" s="3">
        <v>15.0</v>
      </c>
      <c r="E35" s="4">
        <f t="shared" ref="E35:G35" si="24">1+(C17-1)*(1-$B35/500)</f>
        <v>1.1455</v>
      </c>
      <c r="F35" s="4">
        <f t="shared" si="24"/>
        <v>1.388</v>
      </c>
      <c r="G35" s="4">
        <f t="shared" si="24"/>
        <v>1.485</v>
      </c>
      <c r="H35" s="128" t="s">
        <v>23</v>
      </c>
      <c r="I35" s="4">
        <f t="shared" ref="I35:K35" si="25">J17+((1-J17)*0.5*$B35/400)</f>
        <v>0.8528125</v>
      </c>
      <c r="J35" s="4">
        <f t="shared" si="25"/>
        <v>0.6565625</v>
      </c>
      <c r="K35" s="4">
        <f t="shared" si="25"/>
        <v>0.5584375</v>
      </c>
      <c r="U35" s="128" t="s">
        <v>20</v>
      </c>
      <c r="V35" s="140"/>
      <c r="W35" s="140">
        <v>0.75</v>
      </c>
      <c r="X35" s="140">
        <v>0.55</v>
      </c>
      <c r="Y35" s="140">
        <v>0.35</v>
      </c>
    </row>
    <row r="36">
      <c r="A36" s="128" t="s">
        <v>24</v>
      </c>
      <c r="B36" s="3">
        <f t="shared" si="3"/>
        <v>15</v>
      </c>
      <c r="C36" s="3">
        <v>15.0</v>
      </c>
      <c r="E36" s="4">
        <f t="shared" ref="E36:G36" si="26">1+(C18-1)*(1-$B36/500)</f>
        <v>1.1455</v>
      </c>
      <c r="F36" s="4">
        <f t="shared" si="26"/>
        <v>1.388</v>
      </c>
      <c r="G36" s="4">
        <f t="shared" si="26"/>
        <v>1.485</v>
      </c>
      <c r="H36" s="128" t="s">
        <v>24</v>
      </c>
      <c r="I36" s="4">
        <f t="shared" ref="I36:K36" si="27">J18+((1-J18)*0.5*$B36/400)</f>
        <v>0.8528125</v>
      </c>
      <c r="J36" s="4">
        <f t="shared" si="27"/>
        <v>0.6565625</v>
      </c>
      <c r="K36" s="4">
        <f t="shared" si="27"/>
        <v>0.5584375</v>
      </c>
      <c r="U36" s="128" t="s">
        <v>21</v>
      </c>
      <c r="V36" s="140"/>
      <c r="W36" s="140">
        <v>0.75</v>
      </c>
      <c r="X36" s="140">
        <v>0.55</v>
      </c>
      <c r="Y36" s="140">
        <v>0.35</v>
      </c>
    </row>
    <row r="37">
      <c r="A37" s="128" t="s">
        <v>26</v>
      </c>
      <c r="B37" s="3">
        <f t="shared" si="3"/>
        <v>15</v>
      </c>
      <c r="C37" s="3">
        <v>15.0</v>
      </c>
      <c r="E37" s="4">
        <f t="shared" ref="E37:G37" si="28">1+(C19-1)*(1-$B37/500)</f>
        <v>1.1455</v>
      </c>
      <c r="F37" s="4">
        <f t="shared" si="28"/>
        <v>1.388</v>
      </c>
      <c r="G37" s="4">
        <f t="shared" si="28"/>
        <v>1.291</v>
      </c>
      <c r="H37" s="128" t="s">
        <v>26</v>
      </c>
      <c r="I37" s="4">
        <f t="shared" ref="I37:K37" si="29">J19+((1-J19)*0.5*$B37/400)</f>
        <v>0.8528125</v>
      </c>
      <c r="J37" s="4">
        <f t="shared" si="29"/>
        <v>0.6565625</v>
      </c>
      <c r="K37" s="4">
        <f t="shared" si="29"/>
        <v>0.6565625</v>
      </c>
      <c r="U37" s="128" t="s">
        <v>22</v>
      </c>
      <c r="V37" s="140"/>
      <c r="W37" s="140">
        <v>0.75</v>
      </c>
      <c r="X37" s="140">
        <v>0.55</v>
      </c>
      <c r="Y37" s="140">
        <v>0.35</v>
      </c>
    </row>
    <row r="38">
      <c r="A38" s="128" t="s">
        <v>67</v>
      </c>
      <c r="B38" s="3">
        <f t="shared" si="3"/>
        <v>1</v>
      </c>
      <c r="C38" s="3">
        <v>1.0</v>
      </c>
      <c r="E38" s="4">
        <f t="shared" ref="E38:G38" si="30">1+(C20-1)*(1-$B38/500)</f>
        <v>0.002</v>
      </c>
      <c r="F38" s="4">
        <f t="shared" si="30"/>
        <v>0.002</v>
      </c>
      <c r="G38" s="4">
        <f t="shared" si="30"/>
        <v>0.002</v>
      </c>
      <c r="H38" s="128" t="s">
        <v>67</v>
      </c>
      <c r="U38" s="128" t="s">
        <v>23</v>
      </c>
      <c r="V38" s="140"/>
      <c r="W38" s="140">
        <v>0.85</v>
      </c>
      <c r="X38" s="140">
        <v>0.65</v>
      </c>
      <c r="Y38" s="140">
        <v>0.55</v>
      </c>
    </row>
    <row r="39">
      <c r="U39" s="128" t="s">
        <v>24</v>
      </c>
      <c r="V39" s="140"/>
      <c r="W39" s="140">
        <v>0.85</v>
      </c>
      <c r="X39" s="140">
        <v>0.65</v>
      </c>
      <c r="Y39" s="140">
        <v>0.55</v>
      </c>
    </row>
    <row r="40">
      <c r="U40" s="128" t="s">
        <v>26</v>
      </c>
      <c r="V40" s="140"/>
      <c r="W40" s="140">
        <v>0.85</v>
      </c>
      <c r="X40" s="140">
        <v>0.65</v>
      </c>
      <c r="Y40" s="140">
        <v>0.65</v>
      </c>
    </row>
    <row r="41">
      <c r="U41" s="128"/>
      <c r="V41" s="140"/>
      <c r="W41" s="140"/>
      <c r="X41" s="140"/>
      <c r="Y41" s="140"/>
    </row>
    <row r="43">
      <c r="D43" s="4">
        <v>27.0</v>
      </c>
      <c r="E43" s="4">
        <f t="shared" ref="E43:G43" si="31">$D43*E24</f>
        <v>37.7136</v>
      </c>
      <c r="F43" s="4">
        <f t="shared" si="31"/>
        <v>53.784</v>
      </c>
      <c r="G43" s="4">
        <f t="shared" si="31"/>
        <v>67.176</v>
      </c>
      <c r="H43" s="4">
        <v>265.0</v>
      </c>
      <c r="I43" s="4">
        <f t="shared" ref="I43:K43" si="32">$H43*I24</f>
        <v>172.71375</v>
      </c>
      <c r="J43" s="4">
        <f t="shared" si="32"/>
        <v>119.97875</v>
      </c>
      <c r="K43" s="4">
        <f t="shared" si="32"/>
        <v>67.24375</v>
      </c>
    </row>
    <row r="44">
      <c r="D44" s="4">
        <v>26.1</v>
      </c>
      <c r="E44" s="4">
        <f t="shared" ref="E44:G44" si="33">$D44*E25</f>
        <v>36.45648</v>
      </c>
      <c r="F44" s="4">
        <f t="shared" si="33"/>
        <v>51.9912</v>
      </c>
      <c r="G44" s="4">
        <f t="shared" si="33"/>
        <v>64.9368</v>
      </c>
      <c r="H44" s="4">
        <v>250.0</v>
      </c>
      <c r="I44" s="4">
        <f t="shared" ref="I44:K44" si="34">$H44*I25</f>
        <v>162.9375</v>
      </c>
      <c r="J44" s="4">
        <f t="shared" si="34"/>
        <v>113.1875</v>
      </c>
      <c r="K44" s="4">
        <f t="shared" si="34"/>
        <v>63.4375</v>
      </c>
    </row>
    <row r="45">
      <c r="D45" s="4">
        <v>26.1</v>
      </c>
      <c r="E45" s="4">
        <f t="shared" ref="E45:G45" si="35">$D45*E26</f>
        <v>36.45648</v>
      </c>
      <c r="F45" s="4">
        <f t="shared" si="35"/>
        <v>51.9912</v>
      </c>
      <c r="G45" s="4">
        <f t="shared" si="35"/>
        <v>64.9368</v>
      </c>
      <c r="H45" s="4">
        <v>255.0</v>
      </c>
      <c r="I45" s="4">
        <f t="shared" ref="I45:K45" si="36">$H45*I26</f>
        <v>166.19625</v>
      </c>
      <c r="J45" s="4">
        <f t="shared" si="36"/>
        <v>115.45125</v>
      </c>
      <c r="K45" s="4">
        <f t="shared" si="36"/>
        <v>64.70625</v>
      </c>
    </row>
    <row r="46">
      <c r="D46" s="4">
        <v>26.1</v>
      </c>
      <c r="E46" s="4">
        <f t="shared" ref="E46:G46" si="37">$D46*E27</f>
        <v>36.45648</v>
      </c>
      <c r="F46" s="4">
        <f t="shared" si="37"/>
        <v>51.9912</v>
      </c>
      <c r="G46" s="4">
        <f t="shared" si="37"/>
        <v>64.9368</v>
      </c>
      <c r="H46" s="4">
        <v>250.0</v>
      </c>
      <c r="I46" s="4">
        <f t="shared" ref="I46:K46" si="38">$H46*I27</f>
        <v>162.9375</v>
      </c>
      <c r="J46" s="4">
        <f t="shared" si="38"/>
        <v>113.1875</v>
      </c>
      <c r="K46" s="4">
        <f t="shared" si="38"/>
        <v>63.4375</v>
      </c>
    </row>
    <row r="47">
      <c r="D47" s="4">
        <v>26.1</v>
      </c>
      <c r="E47" s="4">
        <f t="shared" ref="E47:G47" si="39">$D47*E28</f>
        <v>33.86736</v>
      </c>
      <c r="F47" s="4">
        <f t="shared" si="39"/>
        <v>46.81296</v>
      </c>
      <c r="G47" s="4">
        <f t="shared" si="39"/>
        <v>57.16944</v>
      </c>
      <c r="H47" s="4">
        <v>240.0</v>
      </c>
      <c r="I47" s="4">
        <f t="shared" ref="I47:K47" si="40">$H47*I28</f>
        <v>156.42</v>
      </c>
      <c r="J47" s="4">
        <f t="shared" si="40"/>
        <v>108.66</v>
      </c>
      <c r="K47" s="4">
        <f t="shared" si="40"/>
        <v>60.9</v>
      </c>
    </row>
    <row r="48">
      <c r="D48" s="4">
        <v>26.1</v>
      </c>
      <c r="E48" s="4">
        <f t="shared" ref="E48:G48" si="41">$D48*E29</f>
        <v>33.86736</v>
      </c>
      <c r="F48" s="4">
        <f t="shared" si="41"/>
        <v>46.81296</v>
      </c>
      <c r="G48" s="4">
        <f t="shared" si="41"/>
        <v>57.16944</v>
      </c>
      <c r="H48" s="4">
        <v>235.0</v>
      </c>
      <c r="I48" s="4">
        <f t="shared" ref="I48:K48" si="42">$H48*I29</f>
        <v>153.16125</v>
      </c>
      <c r="J48" s="4">
        <f t="shared" si="42"/>
        <v>106.39625</v>
      </c>
      <c r="K48" s="4">
        <f t="shared" si="42"/>
        <v>59.63125</v>
      </c>
    </row>
    <row r="49">
      <c r="D49" s="4">
        <v>24.0</v>
      </c>
      <c r="E49" s="4">
        <f t="shared" ref="E49:G49" si="43">$D49*E30</f>
        <v>29.952</v>
      </c>
      <c r="F49" s="4">
        <f t="shared" si="43"/>
        <v>38.2848</v>
      </c>
      <c r="G49" s="4">
        <f t="shared" si="43"/>
        <v>47.808</v>
      </c>
      <c r="H49" s="4">
        <v>230.0</v>
      </c>
      <c r="I49" s="4">
        <f t="shared" ref="I49:K49" si="44">$H49*I30</f>
        <v>172.7875</v>
      </c>
      <c r="J49" s="4">
        <f t="shared" si="44"/>
        <v>127.0175</v>
      </c>
      <c r="K49" s="4">
        <f t="shared" si="44"/>
        <v>81.2475</v>
      </c>
    </row>
    <row r="50">
      <c r="D50" s="4">
        <v>24.0</v>
      </c>
      <c r="E50" s="4">
        <f t="shared" ref="E50:G50" si="45">$D50*E31</f>
        <v>29.952</v>
      </c>
      <c r="F50" s="4">
        <f t="shared" si="45"/>
        <v>38.2848</v>
      </c>
      <c r="G50" s="4">
        <f t="shared" si="45"/>
        <v>47.808</v>
      </c>
      <c r="H50" s="4">
        <v>225.0</v>
      </c>
      <c r="I50" s="4">
        <f t="shared" ref="I50:K50" si="46">$H50*I31</f>
        <v>169.03125</v>
      </c>
      <c r="J50" s="4">
        <f t="shared" si="46"/>
        <v>124.25625</v>
      </c>
      <c r="K50" s="4">
        <f t="shared" si="46"/>
        <v>79.48125</v>
      </c>
    </row>
    <row r="51">
      <c r="D51" s="4">
        <v>24.0</v>
      </c>
      <c r="E51" s="4">
        <f t="shared" ref="E51:G51" si="47">$D51*E32</f>
        <v>29.952</v>
      </c>
      <c r="F51" s="4">
        <f t="shared" si="47"/>
        <v>38.2848</v>
      </c>
      <c r="G51" s="4">
        <f t="shared" si="47"/>
        <v>47.808</v>
      </c>
      <c r="H51" s="4">
        <v>220.0</v>
      </c>
      <c r="I51" s="4">
        <f t="shared" ref="I51:K51" si="48">$H51*I32</f>
        <v>165.275</v>
      </c>
      <c r="J51" s="4">
        <f t="shared" si="48"/>
        <v>121.495</v>
      </c>
      <c r="K51" s="4">
        <f t="shared" si="48"/>
        <v>77.715</v>
      </c>
    </row>
    <row r="52">
      <c r="D52" s="4">
        <v>22.5</v>
      </c>
      <c r="E52" s="4">
        <f t="shared" ref="E52:G52" si="49">$D52*E33</f>
        <v>26.865</v>
      </c>
      <c r="F52" s="4">
        <f t="shared" si="49"/>
        <v>32.32125</v>
      </c>
      <c r="G52" s="4">
        <f t="shared" si="49"/>
        <v>37.7775</v>
      </c>
      <c r="H52" s="4">
        <v>215.0</v>
      </c>
      <c r="I52" s="4">
        <f t="shared" ref="I52:K52" si="50">$H52*I33</f>
        <v>162.2578125</v>
      </c>
      <c r="J52" s="4">
        <f t="shared" si="50"/>
        <v>120.0640625</v>
      </c>
      <c r="K52" s="4">
        <f t="shared" si="50"/>
        <v>77.8703125</v>
      </c>
    </row>
    <row r="53">
      <c r="D53" s="4">
        <v>22.5</v>
      </c>
      <c r="E53" s="4">
        <f t="shared" ref="E53:G53" si="51">$D53*E34</f>
        <v>26.865</v>
      </c>
      <c r="F53" s="4">
        <f t="shared" si="51"/>
        <v>32.32125</v>
      </c>
      <c r="G53" s="4">
        <f t="shared" si="51"/>
        <v>37.7775</v>
      </c>
      <c r="H53" s="4">
        <v>210.0</v>
      </c>
      <c r="I53" s="4">
        <f t="shared" ref="I53:K53" si="52">$H53*I34</f>
        <v>158.484375</v>
      </c>
      <c r="J53" s="4">
        <f t="shared" si="52"/>
        <v>117.271875</v>
      </c>
      <c r="K53" s="4">
        <f t="shared" si="52"/>
        <v>76.059375</v>
      </c>
    </row>
    <row r="54">
      <c r="D54" s="4">
        <v>22.5</v>
      </c>
      <c r="E54" s="4">
        <f t="shared" ref="E54:G54" si="53">$D54*E35</f>
        <v>25.77375</v>
      </c>
      <c r="F54" s="4">
        <f t="shared" si="53"/>
        <v>31.23</v>
      </c>
      <c r="G54" s="4">
        <f t="shared" si="53"/>
        <v>33.4125</v>
      </c>
      <c r="H54" s="4">
        <v>200.0</v>
      </c>
      <c r="I54" s="4">
        <f t="shared" ref="I54:K54" si="54">$H54*I35</f>
        <v>170.5625</v>
      </c>
      <c r="J54" s="4">
        <f t="shared" si="54"/>
        <v>131.3125</v>
      </c>
      <c r="K54" s="4">
        <f t="shared" si="54"/>
        <v>111.6875</v>
      </c>
    </row>
    <row r="55">
      <c r="D55" s="4">
        <v>22.5</v>
      </c>
      <c r="E55" s="4">
        <f t="shared" ref="E55:G55" si="55">$D55*E36</f>
        <v>25.77375</v>
      </c>
      <c r="F55" s="4">
        <f t="shared" si="55"/>
        <v>31.23</v>
      </c>
      <c r="G55" s="4">
        <f t="shared" si="55"/>
        <v>33.4125</v>
      </c>
      <c r="H55" s="4">
        <v>195.0</v>
      </c>
      <c r="I55" s="4">
        <f t="shared" ref="I55:K55" si="56">$H55*I36</f>
        <v>166.2984375</v>
      </c>
      <c r="J55" s="4">
        <f t="shared" si="56"/>
        <v>128.0296875</v>
      </c>
      <c r="K55" s="4">
        <f t="shared" si="56"/>
        <v>108.8953125</v>
      </c>
    </row>
    <row r="56">
      <c r="D56" s="4">
        <v>22.5</v>
      </c>
      <c r="E56" s="4">
        <f t="shared" ref="E56:G56" si="57">$D56*E37</f>
        <v>25.77375</v>
      </c>
      <c r="F56" s="4">
        <f t="shared" si="57"/>
        <v>31.23</v>
      </c>
      <c r="G56" s="4">
        <f t="shared" si="57"/>
        <v>29.0475</v>
      </c>
      <c r="H56" s="4">
        <v>190.0</v>
      </c>
      <c r="I56" s="4">
        <f t="shared" ref="I56:K56" si="58">$H56*I37</f>
        <v>162.034375</v>
      </c>
      <c r="J56" s="4">
        <f t="shared" si="58"/>
        <v>124.746875</v>
      </c>
      <c r="K56" s="4">
        <f t="shared" si="58"/>
        <v>124.746875</v>
      </c>
    </row>
    <row r="57">
      <c r="D57" s="4">
        <v>13.499999999999998</v>
      </c>
      <c r="E57" s="4">
        <f t="shared" ref="E57:G57" si="59">$D57*E38</f>
        <v>0.027</v>
      </c>
      <c r="F57" s="4">
        <f t="shared" si="59"/>
        <v>0.027</v>
      </c>
      <c r="G57" s="4">
        <f t="shared" si="59"/>
        <v>0.027</v>
      </c>
      <c r="H57" s="4">
        <v>97.0</v>
      </c>
      <c r="I57" s="4">
        <f t="shared" ref="I57:K57" si="60">$H57*I38</f>
        <v>0</v>
      </c>
      <c r="J57" s="4">
        <f t="shared" si="60"/>
        <v>0</v>
      </c>
      <c r="K57" s="4">
        <f t="shared" si="60"/>
        <v>0</v>
      </c>
    </row>
    <row r="59">
      <c r="I59" s="3" t="s">
        <v>97</v>
      </c>
      <c r="J59" s="3" t="s">
        <v>81</v>
      </c>
      <c r="K59" s="3" t="s">
        <v>32</v>
      </c>
    </row>
    <row r="60">
      <c r="E60" s="4">
        <v>37.8</v>
      </c>
      <c r="F60" s="4">
        <v>54.0</v>
      </c>
      <c r="G60" s="4">
        <v>67.5</v>
      </c>
      <c r="I60" s="4">
        <v>169.0</v>
      </c>
      <c r="J60" s="4">
        <v>117.0</v>
      </c>
      <c r="K60" s="4">
        <v>65.0</v>
      </c>
    </row>
    <row r="61">
      <c r="E61" s="4">
        <v>36.54</v>
      </c>
      <c r="F61" s="4">
        <v>52.2</v>
      </c>
      <c r="G61" s="4">
        <v>65.25</v>
      </c>
      <c r="I61" s="4">
        <v>159.25</v>
      </c>
      <c r="J61" s="4">
        <v>110.25</v>
      </c>
      <c r="K61" s="4">
        <v>61.25</v>
      </c>
    </row>
    <row r="62">
      <c r="E62" s="4">
        <v>36.54</v>
      </c>
      <c r="F62" s="4">
        <v>52.2</v>
      </c>
      <c r="G62" s="4">
        <v>65.25</v>
      </c>
      <c r="I62" s="4">
        <v>162.5</v>
      </c>
      <c r="J62" s="4">
        <v>112.5</v>
      </c>
      <c r="K62" s="4">
        <v>62.5</v>
      </c>
    </row>
    <row r="63">
      <c r="E63" s="4">
        <v>36.54</v>
      </c>
      <c r="F63" s="4">
        <v>52.2</v>
      </c>
      <c r="G63" s="4">
        <v>65.25</v>
      </c>
      <c r="I63" s="4">
        <v>159.25</v>
      </c>
      <c r="J63" s="4">
        <v>110.25</v>
      </c>
      <c r="K63" s="4">
        <v>61.25</v>
      </c>
    </row>
    <row r="64">
      <c r="E64" s="4">
        <v>33.93</v>
      </c>
      <c r="F64" s="4">
        <v>46.980000000000004</v>
      </c>
      <c r="G64" s="4">
        <v>57.42000000000001</v>
      </c>
      <c r="I64" s="4">
        <v>152.75</v>
      </c>
      <c r="J64" s="4">
        <v>105.75</v>
      </c>
      <c r="K64" s="4">
        <v>58.75</v>
      </c>
    </row>
    <row r="65">
      <c r="E65" s="4">
        <v>33.93</v>
      </c>
      <c r="F65" s="4">
        <v>46.980000000000004</v>
      </c>
      <c r="G65" s="4">
        <v>57.42000000000001</v>
      </c>
      <c r="I65" s="4">
        <v>149.5</v>
      </c>
      <c r="J65" s="4">
        <v>103.5</v>
      </c>
      <c r="K65" s="4">
        <v>57.5</v>
      </c>
    </row>
    <row r="66">
      <c r="E66" s="4">
        <v>30.0</v>
      </c>
      <c r="F66" s="4">
        <v>38.400000000000006</v>
      </c>
      <c r="G66" s="4">
        <v>48.0</v>
      </c>
      <c r="I66" s="4">
        <v>168.75</v>
      </c>
      <c r="J66" s="4">
        <v>123.75000000000001</v>
      </c>
      <c r="K66" s="4">
        <v>78.75</v>
      </c>
    </row>
    <row r="67">
      <c r="E67" s="4">
        <v>30.0</v>
      </c>
      <c r="F67" s="4">
        <v>38.400000000000006</v>
      </c>
      <c r="G67" s="4">
        <v>48.0</v>
      </c>
      <c r="I67" s="4">
        <v>165.0</v>
      </c>
      <c r="J67" s="4">
        <v>121.00000000000001</v>
      </c>
      <c r="K67" s="4">
        <v>77.0</v>
      </c>
    </row>
    <row r="68">
      <c r="E68" s="4">
        <v>30.0</v>
      </c>
      <c r="F68" s="4">
        <v>38.400000000000006</v>
      </c>
      <c r="G68" s="4">
        <v>48.0</v>
      </c>
      <c r="I68" s="4">
        <v>161.25</v>
      </c>
      <c r="J68" s="4">
        <v>118.25000000000001</v>
      </c>
      <c r="K68" s="4">
        <v>75.25</v>
      </c>
    </row>
    <row r="69">
      <c r="E69" s="4">
        <v>27.0</v>
      </c>
      <c r="F69" s="4">
        <v>32.625</v>
      </c>
      <c r="G69" s="4">
        <v>38.25</v>
      </c>
      <c r="I69" s="4">
        <v>157.5</v>
      </c>
      <c r="J69" s="4">
        <v>115.50000000000001</v>
      </c>
      <c r="K69" s="4">
        <v>73.5</v>
      </c>
    </row>
    <row r="70">
      <c r="E70" s="4">
        <v>27.0</v>
      </c>
      <c r="F70" s="4">
        <v>32.625</v>
      </c>
      <c r="G70" s="4">
        <v>38.25</v>
      </c>
      <c r="I70" s="4">
        <v>153.75</v>
      </c>
      <c r="J70" s="4">
        <v>112.75000000000001</v>
      </c>
      <c r="K70" s="4">
        <v>71.75</v>
      </c>
    </row>
    <row r="71">
      <c r="E71" s="4">
        <v>25.874999999999996</v>
      </c>
      <c r="F71" s="4">
        <v>31.499999999999996</v>
      </c>
      <c r="G71" s="4">
        <v>33.75</v>
      </c>
      <c r="I71" s="4">
        <v>165.75</v>
      </c>
      <c r="J71" s="4">
        <v>126.75</v>
      </c>
      <c r="K71" s="4">
        <v>107.25000000000001</v>
      </c>
    </row>
    <row r="72">
      <c r="E72" s="4">
        <v>25.874999999999996</v>
      </c>
      <c r="F72" s="4">
        <v>31.499999999999996</v>
      </c>
      <c r="G72" s="4">
        <v>33.75</v>
      </c>
      <c r="I72" s="4">
        <v>161.5</v>
      </c>
      <c r="J72" s="4">
        <v>123.5</v>
      </c>
      <c r="K72" s="4">
        <v>104.50000000000001</v>
      </c>
    </row>
    <row r="73">
      <c r="E73" s="4">
        <v>25.874999999999996</v>
      </c>
      <c r="F73" s="4">
        <v>31.499999999999996</v>
      </c>
      <c r="G73" s="4">
        <v>29.25</v>
      </c>
      <c r="I73" s="4">
        <v>157.25</v>
      </c>
      <c r="J73" s="4">
        <v>120.25</v>
      </c>
      <c r="K73" s="4">
        <v>120.25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</sheetPr>
  <sheetViews>
    <sheetView workbookViewId="0"/>
  </sheetViews>
  <sheetFormatPr customHeight="1" defaultColWidth="12.63" defaultRowHeight="15.75" outlineLevelCol="1"/>
  <cols>
    <col min="1" max="11" width="12.63" outlineLevel="1"/>
    <col customWidth="1" min="15" max="15" width="19.13"/>
  </cols>
  <sheetData>
    <row r="1">
      <c r="A1" s="3" t="s">
        <v>27</v>
      </c>
    </row>
    <row r="2">
      <c r="B2" s="3">
        <v>400.0</v>
      </c>
      <c r="E2" s="3" t="s">
        <v>98</v>
      </c>
      <c r="G2" s="3" t="s">
        <v>48</v>
      </c>
      <c r="H2" s="3" t="s">
        <v>99</v>
      </c>
      <c r="I2" s="3" t="s">
        <v>100</v>
      </c>
      <c r="J2" s="3" t="s">
        <v>101</v>
      </c>
      <c r="M2" s="120" t="s">
        <v>102</v>
      </c>
      <c r="N2" s="121"/>
      <c r="O2" s="121"/>
      <c r="P2" s="121"/>
      <c r="Q2" s="121"/>
      <c r="R2" s="122"/>
    </row>
    <row r="3">
      <c r="B3" s="3" t="s">
        <v>6</v>
      </c>
      <c r="H3" s="3">
        <f>1.5</f>
        <v>1.5</v>
      </c>
      <c r="I3" s="3">
        <v>0.0</v>
      </c>
      <c r="J3" s="3">
        <v>-1.5</v>
      </c>
      <c r="M3" s="123" t="s">
        <v>103</v>
      </c>
      <c r="N3" s="6"/>
      <c r="O3" s="6"/>
      <c r="P3" s="6"/>
      <c r="Q3" s="6"/>
      <c r="R3" s="124"/>
    </row>
    <row r="4">
      <c r="A4" s="128" t="s">
        <v>83</v>
      </c>
      <c r="B4" s="3">
        <v>55.0</v>
      </c>
      <c r="C4" s="3">
        <v>1.0</v>
      </c>
      <c r="E4" s="147">
        <v>35.0</v>
      </c>
      <c r="G4" s="4">
        <f t="shared" ref="G4:G17" si="2">3*(B4/100)</f>
        <v>1.65</v>
      </c>
      <c r="H4" s="4">
        <f t="shared" ref="H4:J4" si="1">($E4+($G4*H$3))/1.3</f>
        <v>28.82692308</v>
      </c>
      <c r="I4" s="4">
        <f t="shared" si="1"/>
        <v>26.92307692</v>
      </c>
      <c r="J4" s="4">
        <f t="shared" si="1"/>
        <v>25.01923077</v>
      </c>
      <c r="M4" s="125" t="s">
        <v>104</v>
      </c>
      <c r="N4" s="126"/>
      <c r="O4" s="126"/>
      <c r="P4" s="126"/>
      <c r="Q4" s="126"/>
      <c r="R4" s="127"/>
    </row>
    <row r="5">
      <c r="A5" s="128" t="s">
        <v>13</v>
      </c>
      <c r="B5" s="3">
        <v>55.0</v>
      </c>
      <c r="C5" s="3">
        <v>1.0</v>
      </c>
      <c r="E5" s="147">
        <v>35.0</v>
      </c>
      <c r="G5" s="4">
        <f t="shared" si="2"/>
        <v>1.65</v>
      </c>
      <c r="H5" s="4">
        <f t="shared" ref="H5:J5" si="3">($E5+($G5*H$3))/1.3</f>
        <v>28.82692308</v>
      </c>
      <c r="I5" s="4">
        <f t="shared" si="3"/>
        <v>26.92307692</v>
      </c>
      <c r="J5" s="4">
        <f t="shared" si="3"/>
        <v>25.01923077</v>
      </c>
    </row>
    <row r="6">
      <c r="A6" s="128" t="s">
        <v>14</v>
      </c>
      <c r="B6" s="3">
        <v>55.0</v>
      </c>
      <c r="C6" s="3">
        <v>1.0</v>
      </c>
      <c r="E6" s="147">
        <v>35.0</v>
      </c>
      <c r="G6" s="4">
        <f t="shared" si="2"/>
        <v>1.65</v>
      </c>
      <c r="H6" s="4">
        <f t="shared" ref="H6:J6" si="4">($E6+($G6*H$3))/1.3</f>
        <v>28.82692308</v>
      </c>
      <c r="I6" s="4">
        <f t="shared" si="4"/>
        <v>26.92307692</v>
      </c>
      <c r="J6" s="4">
        <f t="shared" si="4"/>
        <v>25.01923077</v>
      </c>
    </row>
    <row r="7">
      <c r="A7" s="128" t="s">
        <v>15</v>
      </c>
      <c r="B7" s="3">
        <v>55.0</v>
      </c>
      <c r="C7" s="3">
        <v>1.0</v>
      </c>
      <c r="E7" s="147">
        <v>35.0</v>
      </c>
      <c r="G7" s="4">
        <f t="shared" si="2"/>
        <v>1.65</v>
      </c>
      <c r="H7" s="4">
        <f t="shared" ref="H7:J7" si="5">($E7+($G7*H$3))/1.3</f>
        <v>28.82692308</v>
      </c>
      <c r="I7" s="4">
        <f t="shared" si="5"/>
        <v>26.92307692</v>
      </c>
      <c r="J7" s="4">
        <f t="shared" si="5"/>
        <v>25.01923077</v>
      </c>
      <c r="M7" s="129" t="s">
        <v>105</v>
      </c>
      <c r="N7" s="130"/>
      <c r="O7" s="130"/>
      <c r="P7" s="130"/>
      <c r="Q7" s="130"/>
      <c r="R7" s="131"/>
    </row>
    <row r="8">
      <c r="A8" s="128" t="s">
        <v>16</v>
      </c>
      <c r="B8" s="3">
        <v>55.0</v>
      </c>
      <c r="C8" s="3">
        <v>1.0</v>
      </c>
      <c r="E8" s="147">
        <v>35.0</v>
      </c>
      <c r="G8" s="4">
        <f t="shared" si="2"/>
        <v>1.65</v>
      </c>
      <c r="H8" s="4">
        <f t="shared" ref="H8:J8" si="6">($E8+($G8*H$3))/1.3</f>
        <v>28.82692308</v>
      </c>
      <c r="I8" s="4">
        <f t="shared" si="6"/>
        <v>26.92307692</v>
      </c>
      <c r="J8" s="4">
        <f t="shared" si="6"/>
        <v>25.01923077</v>
      </c>
      <c r="L8" s="3" t="s">
        <v>106</v>
      </c>
      <c r="M8" s="148" t="s">
        <v>107</v>
      </c>
      <c r="N8" s="149"/>
      <c r="O8" s="149"/>
      <c r="P8" s="149"/>
      <c r="Q8" s="149"/>
      <c r="R8" s="150"/>
    </row>
    <row r="9">
      <c r="A9" s="128" t="s">
        <v>17</v>
      </c>
      <c r="B9" s="3">
        <v>55.0</v>
      </c>
      <c r="C9" s="3">
        <v>1.0</v>
      </c>
      <c r="E9" s="147">
        <v>35.0</v>
      </c>
      <c r="G9" s="4">
        <f t="shared" si="2"/>
        <v>1.65</v>
      </c>
      <c r="H9" s="4">
        <f t="shared" ref="H9:J9" si="7">($E9+($G9*H$3))/1.3</f>
        <v>28.82692308</v>
      </c>
      <c r="I9" s="4">
        <f t="shared" si="7"/>
        <v>26.92307692</v>
      </c>
      <c r="J9" s="4">
        <f t="shared" si="7"/>
        <v>25.01923077</v>
      </c>
      <c r="M9" s="148" t="s">
        <v>108</v>
      </c>
      <c r="N9" s="149"/>
      <c r="O9" s="149"/>
      <c r="P9" s="149"/>
      <c r="Q9" s="149"/>
      <c r="R9" s="150"/>
    </row>
    <row r="10">
      <c r="A10" s="128" t="s">
        <v>18</v>
      </c>
      <c r="B10" s="3">
        <v>55.0</v>
      </c>
      <c r="C10" s="3">
        <v>1.0</v>
      </c>
      <c r="E10" s="147">
        <v>35.0</v>
      </c>
      <c r="G10" s="4">
        <f t="shared" si="2"/>
        <v>1.65</v>
      </c>
      <c r="H10" s="4">
        <f t="shared" ref="H10:J10" si="8">($E10+($G10*H$3))/1.3</f>
        <v>28.82692308</v>
      </c>
      <c r="I10" s="4">
        <f t="shared" si="8"/>
        <v>26.92307692</v>
      </c>
      <c r="J10" s="4">
        <f t="shared" si="8"/>
        <v>25.01923077</v>
      </c>
      <c r="M10" s="148" t="s">
        <v>109</v>
      </c>
      <c r="N10" s="149"/>
      <c r="O10" s="149"/>
      <c r="P10" s="149"/>
      <c r="Q10" s="149"/>
      <c r="R10" s="150"/>
    </row>
    <row r="11">
      <c r="A11" s="128" t="s">
        <v>19</v>
      </c>
      <c r="B11" s="3">
        <v>55.0</v>
      </c>
      <c r="C11" s="3">
        <v>1.0</v>
      </c>
      <c r="E11" s="147">
        <v>35.0</v>
      </c>
      <c r="G11" s="4">
        <f t="shared" si="2"/>
        <v>1.65</v>
      </c>
      <c r="H11" s="4">
        <f t="shared" ref="H11:J11" si="9">($E11+($G11*H$3))/1.3</f>
        <v>28.82692308</v>
      </c>
      <c r="I11" s="4">
        <f t="shared" si="9"/>
        <v>26.92307692</v>
      </c>
      <c r="J11" s="4">
        <f t="shared" si="9"/>
        <v>25.01923077</v>
      </c>
      <c r="M11" s="148" t="s">
        <v>110</v>
      </c>
      <c r="N11" s="149"/>
      <c r="O11" s="149"/>
      <c r="P11" s="149"/>
      <c r="Q11" s="149"/>
      <c r="R11" s="150"/>
    </row>
    <row r="12">
      <c r="A12" s="128" t="s">
        <v>20</v>
      </c>
      <c r="B12" s="3">
        <v>55.0</v>
      </c>
      <c r="C12" s="3">
        <v>1.0</v>
      </c>
      <c r="E12" s="151">
        <v>34.0</v>
      </c>
      <c r="G12" s="4">
        <f t="shared" si="2"/>
        <v>1.65</v>
      </c>
      <c r="H12" s="4">
        <f t="shared" ref="H12:J12" si="10">($E12+($G12*H$3))/1.3</f>
        <v>28.05769231</v>
      </c>
      <c r="I12" s="4">
        <f t="shared" si="10"/>
        <v>26.15384615</v>
      </c>
      <c r="J12" s="4">
        <f t="shared" si="10"/>
        <v>24.25</v>
      </c>
      <c r="M12" s="152"/>
      <c r="N12" s="149"/>
      <c r="O12" s="149"/>
      <c r="P12" s="149"/>
      <c r="Q12" s="149"/>
      <c r="R12" s="150"/>
    </row>
    <row r="13">
      <c r="A13" s="128" t="s">
        <v>21</v>
      </c>
      <c r="B13" s="3">
        <v>75.0</v>
      </c>
      <c r="C13" s="3">
        <v>1.0</v>
      </c>
      <c r="E13" s="151">
        <v>38.0</v>
      </c>
      <c r="G13" s="4">
        <f t="shared" si="2"/>
        <v>2.25</v>
      </c>
      <c r="H13" s="4">
        <f t="shared" ref="H13:J13" si="11">($E13+($G13*H$3))/1.3</f>
        <v>31.82692308</v>
      </c>
      <c r="I13" s="4">
        <f t="shared" si="11"/>
        <v>29.23076923</v>
      </c>
      <c r="J13" s="4">
        <f t="shared" si="11"/>
        <v>26.63461538</v>
      </c>
      <c r="L13" s="3" t="s">
        <v>111</v>
      </c>
      <c r="M13" s="153" t="s">
        <v>112</v>
      </c>
      <c r="N13" s="154" t="s">
        <v>113</v>
      </c>
      <c r="O13" s="155"/>
      <c r="P13" s="149"/>
      <c r="Q13" s="149"/>
      <c r="R13" s="150"/>
    </row>
    <row r="14">
      <c r="A14" s="128" t="s">
        <v>22</v>
      </c>
      <c r="B14" s="3">
        <v>75.0</v>
      </c>
      <c r="C14" s="3">
        <v>1.0</v>
      </c>
      <c r="E14" s="151">
        <v>42.0</v>
      </c>
      <c r="G14" s="4">
        <f t="shared" si="2"/>
        <v>2.25</v>
      </c>
      <c r="H14" s="4">
        <f t="shared" ref="H14:J14" si="12">($E14+($G14*H$3))/1.3</f>
        <v>34.90384615</v>
      </c>
      <c r="I14" s="4">
        <f t="shared" si="12"/>
        <v>32.30769231</v>
      </c>
      <c r="J14" s="4">
        <f t="shared" si="12"/>
        <v>29.71153846</v>
      </c>
      <c r="M14" s="153" t="s">
        <v>114</v>
      </c>
      <c r="N14" s="149"/>
      <c r="O14" s="149"/>
      <c r="P14" s="149"/>
      <c r="Q14" s="149"/>
      <c r="R14" s="150"/>
    </row>
    <row r="15">
      <c r="A15" s="128" t="s">
        <v>23</v>
      </c>
      <c r="B15" s="3">
        <v>75.0</v>
      </c>
      <c r="C15" s="3">
        <v>1.0</v>
      </c>
      <c r="E15" s="151">
        <v>45.0</v>
      </c>
      <c r="G15" s="4">
        <f t="shared" si="2"/>
        <v>2.25</v>
      </c>
      <c r="H15" s="4">
        <f t="shared" ref="H15:J15" si="13">($E15+($G15*H$3))/1.3</f>
        <v>37.21153846</v>
      </c>
      <c r="I15" s="4">
        <f t="shared" si="13"/>
        <v>34.61538462</v>
      </c>
      <c r="J15" s="4">
        <f t="shared" si="13"/>
        <v>32.01923077</v>
      </c>
      <c r="M15" s="153" t="s">
        <v>115</v>
      </c>
      <c r="N15" s="149"/>
      <c r="O15" s="149"/>
      <c r="P15" s="149"/>
      <c r="Q15" s="149"/>
      <c r="R15" s="150"/>
    </row>
    <row r="16">
      <c r="A16" s="128" t="s">
        <v>24</v>
      </c>
      <c r="B16" s="3">
        <v>75.0</v>
      </c>
      <c r="C16" s="3">
        <v>1.0</v>
      </c>
      <c r="E16" s="151">
        <v>50.0</v>
      </c>
      <c r="G16" s="4">
        <f t="shared" si="2"/>
        <v>2.25</v>
      </c>
      <c r="H16" s="4">
        <f t="shared" ref="H16:J16" si="14">($E16+($G16*H$3))/1.3</f>
        <v>41.05769231</v>
      </c>
      <c r="I16" s="4">
        <f t="shared" si="14"/>
        <v>38.46153846</v>
      </c>
      <c r="J16" s="4">
        <f t="shared" si="14"/>
        <v>35.86538462</v>
      </c>
      <c r="M16" s="152"/>
      <c r="N16" s="149"/>
      <c r="O16" s="149"/>
      <c r="P16" s="149"/>
      <c r="Q16" s="149"/>
      <c r="R16" s="150"/>
    </row>
    <row r="17">
      <c r="A17" s="128" t="s">
        <v>26</v>
      </c>
      <c r="B17" s="3">
        <v>75.0</v>
      </c>
      <c r="C17" s="3">
        <v>1.0</v>
      </c>
      <c r="E17" s="151">
        <v>54.0</v>
      </c>
      <c r="G17" s="4">
        <f t="shared" si="2"/>
        <v>2.25</v>
      </c>
      <c r="H17" s="4">
        <f t="shared" ref="H17:J17" si="15">($E17+($G17*H$3))/1.3</f>
        <v>44.13461538</v>
      </c>
      <c r="I17" s="4">
        <f t="shared" si="15"/>
        <v>41.53846154</v>
      </c>
      <c r="J17" s="4">
        <f t="shared" si="15"/>
        <v>38.94230769</v>
      </c>
      <c r="M17" s="152"/>
      <c r="N17" s="149"/>
      <c r="O17" s="149"/>
      <c r="P17" s="149"/>
      <c r="Q17" s="149"/>
      <c r="R17" s="150"/>
    </row>
    <row r="18">
      <c r="M18" s="152"/>
      <c r="N18" s="149"/>
      <c r="O18" s="149"/>
      <c r="P18" s="149"/>
      <c r="Q18" s="149"/>
      <c r="R18" s="150"/>
    </row>
    <row r="19">
      <c r="H19" s="156" t="s">
        <v>116</v>
      </c>
      <c r="I19" s="157" t="s">
        <v>117</v>
      </c>
      <c r="J19" s="158"/>
      <c r="M19" s="152"/>
      <c r="N19" s="149"/>
      <c r="O19" s="149"/>
      <c r="P19" s="149"/>
      <c r="Q19" s="149"/>
      <c r="R19" s="150"/>
    </row>
    <row r="20">
      <c r="H20" s="159" t="s">
        <v>80</v>
      </c>
      <c r="I20" s="160">
        <v>1.0</v>
      </c>
      <c r="J20" s="161"/>
      <c r="M20" s="152"/>
      <c r="N20" s="149"/>
      <c r="O20" s="149"/>
      <c r="P20" s="149"/>
      <c r="Q20" s="149"/>
      <c r="R20" s="150"/>
    </row>
    <row r="21">
      <c r="H21" s="159" t="s">
        <v>32</v>
      </c>
      <c r="I21" s="160">
        <v>0.75</v>
      </c>
      <c r="J21" s="161"/>
      <c r="M21" s="153" t="s">
        <v>118</v>
      </c>
      <c r="N21" s="149"/>
      <c r="O21" s="149"/>
      <c r="P21" s="149"/>
      <c r="Q21" s="149"/>
      <c r="R21" s="150"/>
    </row>
    <row r="22">
      <c r="H22" s="159" t="s">
        <v>119</v>
      </c>
      <c r="I22" s="160">
        <v>0.5</v>
      </c>
      <c r="J22" s="161"/>
      <c r="M22" s="148" t="s">
        <v>120</v>
      </c>
      <c r="N22" s="149"/>
      <c r="O22" s="149"/>
      <c r="P22" s="149"/>
      <c r="Q22" s="149"/>
      <c r="R22" s="150"/>
    </row>
    <row r="23">
      <c r="H23" s="159" t="s">
        <v>81</v>
      </c>
      <c r="I23" s="160">
        <v>0.25</v>
      </c>
      <c r="J23" s="161"/>
      <c r="M23" s="148" t="s">
        <v>121</v>
      </c>
      <c r="N23" s="149"/>
      <c r="O23" s="149"/>
      <c r="P23" s="149"/>
      <c r="Q23" s="149"/>
      <c r="R23" s="150"/>
    </row>
    <row r="24">
      <c r="H24" s="162"/>
      <c r="J24" s="161"/>
      <c r="M24" s="163" t="s">
        <v>122</v>
      </c>
      <c r="N24" s="164"/>
      <c r="O24" s="164"/>
      <c r="P24" s="164"/>
      <c r="Q24" s="164"/>
      <c r="R24" s="165"/>
    </row>
    <row r="25">
      <c r="A25" s="3" t="s">
        <v>123</v>
      </c>
      <c r="H25" s="166" t="s">
        <v>124</v>
      </c>
      <c r="I25" s="149"/>
      <c r="J25" s="167"/>
    </row>
    <row r="26">
      <c r="A26" s="3" t="s">
        <v>125</v>
      </c>
      <c r="H26" s="168" t="s">
        <v>126</v>
      </c>
      <c r="I26" s="169"/>
      <c r="J26" s="170"/>
      <c r="M26" s="7"/>
      <c r="N26" s="171" t="s">
        <v>127</v>
      </c>
      <c r="O26" s="7"/>
      <c r="P26" s="7"/>
      <c r="Q26" s="7"/>
      <c r="R26" s="7"/>
      <c r="S26" s="7"/>
      <c r="T26" s="7"/>
    </row>
    <row r="27">
      <c r="A27" s="3" t="s">
        <v>128</v>
      </c>
      <c r="M27" s="171" t="s">
        <v>83</v>
      </c>
      <c r="N27" s="171">
        <v>40.0</v>
      </c>
      <c r="O27" s="171" t="s">
        <v>112</v>
      </c>
      <c r="P27" s="171" t="s">
        <v>113</v>
      </c>
      <c r="Q27" s="172"/>
      <c r="R27" s="7"/>
      <c r="S27" s="7"/>
      <c r="T27" s="7"/>
    </row>
    <row r="28">
      <c r="M28" s="171" t="s">
        <v>13</v>
      </c>
      <c r="N28" s="171">
        <v>50.0</v>
      </c>
      <c r="O28" s="171"/>
      <c r="P28" s="7"/>
      <c r="Q28" s="171"/>
      <c r="R28" s="172"/>
      <c r="S28" s="172"/>
      <c r="T28" s="172"/>
      <c r="U28" s="173"/>
    </row>
    <row r="29">
      <c r="A29" s="3" t="s">
        <v>129</v>
      </c>
      <c r="M29" s="171" t="s">
        <v>14</v>
      </c>
      <c r="N29" s="171">
        <v>50.0</v>
      </c>
      <c r="O29" s="171"/>
      <c r="P29" s="7"/>
      <c r="Q29" s="171"/>
      <c r="R29" s="172"/>
      <c r="S29" s="172"/>
      <c r="T29" s="172"/>
      <c r="U29" s="173"/>
    </row>
    <row r="30">
      <c r="A30" s="3" t="s">
        <v>130</v>
      </c>
      <c r="M30" s="171" t="s">
        <v>15</v>
      </c>
      <c r="N30" s="171">
        <v>50.0</v>
      </c>
      <c r="O30" s="171"/>
      <c r="P30" s="171" t="s">
        <v>131</v>
      </c>
      <c r="Q30" s="172"/>
      <c r="R30" s="172"/>
      <c r="S30" s="172"/>
      <c r="T30" s="172"/>
      <c r="U30" s="173"/>
    </row>
    <row r="31">
      <c r="A31" s="3" t="s">
        <v>132</v>
      </c>
      <c r="M31" s="171" t="s">
        <v>16</v>
      </c>
      <c r="N31" s="171">
        <v>60.0</v>
      </c>
      <c r="O31" s="171"/>
      <c r="P31" s="171" t="s">
        <v>115</v>
      </c>
      <c r="Q31" s="172"/>
      <c r="R31" s="172"/>
      <c r="S31" s="172"/>
      <c r="T31" s="172"/>
      <c r="U31" s="173"/>
    </row>
    <row r="32">
      <c r="M32" s="171" t="s">
        <v>17</v>
      </c>
      <c r="N32" s="171">
        <v>60.0</v>
      </c>
      <c r="O32" s="171"/>
      <c r="P32" s="7"/>
      <c r="Q32" s="172"/>
      <c r="R32" s="172"/>
      <c r="S32" s="172"/>
      <c r="T32" s="172"/>
      <c r="U32" s="173"/>
    </row>
    <row r="33">
      <c r="M33" s="171" t="s">
        <v>18</v>
      </c>
      <c r="N33" s="171">
        <v>70.0</v>
      </c>
      <c r="O33" s="171"/>
      <c r="P33" s="7"/>
      <c r="Q33" s="172"/>
      <c r="R33" s="172"/>
      <c r="S33" s="172"/>
      <c r="T33" s="172"/>
      <c r="U33" s="173"/>
    </row>
    <row r="34">
      <c r="M34" s="171" t="s">
        <v>19</v>
      </c>
      <c r="N34" s="171">
        <v>70.0</v>
      </c>
      <c r="O34" s="171"/>
      <c r="P34" s="7"/>
      <c r="Q34" s="172"/>
      <c r="R34" s="172"/>
      <c r="S34" s="172"/>
      <c r="T34" s="172"/>
      <c r="U34" s="173"/>
    </row>
    <row r="35">
      <c r="M35" s="171" t="s">
        <v>20</v>
      </c>
      <c r="N35" s="171">
        <v>70.0</v>
      </c>
      <c r="O35" s="171"/>
      <c r="P35" s="7"/>
      <c r="Q35" s="7"/>
      <c r="R35" s="7"/>
      <c r="S35" s="7"/>
      <c r="T35" s="7"/>
    </row>
    <row r="36">
      <c r="M36" s="171" t="s">
        <v>21</v>
      </c>
      <c r="N36" s="171">
        <v>80.0</v>
      </c>
      <c r="O36" s="171"/>
      <c r="P36" s="7"/>
      <c r="Q36" s="7"/>
      <c r="R36" s="7"/>
      <c r="S36" s="7"/>
      <c r="T36" s="7"/>
    </row>
    <row r="37">
      <c r="M37" s="171" t="s">
        <v>22</v>
      </c>
      <c r="N37" s="171">
        <v>80.0</v>
      </c>
      <c r="O37" s="171"/>
      <c r="P37" s="7"/>
      <c r="Q37" s="7"/>
      <c r="R37" s="7"/>
      <c r="S37" s="7"/>
      <c r="T37" s="7"/>
    </row>
    <row r="38">
      <c r="A38" s="3" t="s">
        <v>118</v>
      </c>
      <c r="M38" s="171" t="s">
        <v>64</v>
      </c>
      <c r="N38" s="171">
        <v>90.0</v>
      </c>
      <c r="O38" s="171"/>
      <c r="P38" s="7"/>
      <c r="Q38" s="7"/>
      <c r="R38" s="7"/>
      <c r="S38" s="7"/>
      <c r="T38" s="7"/>
    </row>
    <row r="39">
      <c r="A39" s="3" t="s">
        <v>120</v>
      </c>
      <c r="M39" s="171" t="s">
        <v>65</v>
      </c>
      <c r="N39" s="171">
        <v>90.0</v>
      </c>
      <c r="O39" s="171"/>
      <c r="P39" s="7"/>
      <c r="Q39" s="7"/>
      <c r="R39" s="7"/>
      <c r="S39" s="7"/>
      <c r="T39" s="7"/>
    </row>
    <row r="40">
      <c r="A40" s="3" t="s">
        <v>121</v>
      </c>
      <c r="M40" s="171" t="s">
        <v>66</v>
      </c>
      <c r="N40" s="171">
        <v>90.0</v>
      </c>
      <c r="O40" s="171"/>
      <c r="P40" s="7"/>
      <c r="Q40" s="7"/>
      <c r="R40" s="7"/>
      <c r="S40" s="7"/>
      <c r="T40" s="7"/>
    </row>
    <row r="41">
      <c r="A41" s="3" t="s">
        <v>122</v>
      </c>
    </row>
    <row r="42">
      <c r="L42" s="142"/>
      <c r="M42" s="174" t="s">
        <v>133</v>
      </c>
      <c r="N42" s="174" t="s">
        <v>134</v>
      </c>
      <c r="O42" s="174" t="s">
        <v>135</v>
      </c>
      <c r="P42" s="174" t="s">
        <v>136</v>
      </c>
      <c r="Q42" s="174" t="s">
        <v>137</v>
      </c>
      <c r="R42" s="174" t="s">
        <v>138</v>
      </c>
    </row>
    <row r="43">
      <c r="L43" s="174">
        <v>1.0</v>
      </c>
      <c r="M43" s="175" t="s">
        <v>139</v>
      </c>
      <c r="N43" s="175">
        <v>100.0</v>
      </c>
      <c r="O43" s="175" t="s">
        <v>140</v>
      </c>
      <c r="P43" s="175" t="s">
        <v>141</v>
      </c>
      <c r="Q43" s="175" t="s">
        <v>142</v>
      </c>
      <c r="R43" s="175" t="s">
        <v>80</v>
      </c>
    </row>
    <row r="44">
      <c r="L44" s="174">
        <v>2.0</v>
      </c>
      <c r="M44" s="175" t="s">
        <v>139</v>
      </c>
      <c r="N44" s="175">
        <v>100.0</v>
      </c>
      <c r="O44" s="175" t="s">
        <v>143</v>
      </c>
      <c r="P44" s="175" t="s">
        <v>141</v>
      </c>
      <c r="Q44" s="175" t="s">
        <v>144</v>
      </c>
      <c r="R44" s="175" t="s">
        <v>80</v>
      </c>
    </row>
    <row r="45">
      <c r="L45" s="174">
        <v>3.0</v>
      </c>
      <c r="M45" s="175" t="s">
        <v>139</v>
      </c>
      <c r="N45" s="175">
        <v>100.0</v>
      </c>
      <c r="O45" s="175" t="s">
        <v>145</v>
      </c>
      <c r="P45" s="175" t="s">
        <v>141</v>
      </c>
      <c r="Q45" s="175" t="s">
        <v>146</v>
      </c>
      <c r="R45" s="175" t="s">
        <v>80</v>
      </c>
    </row>
    <row r="47">
      <c r="M47" s="3" t="s">
        <v>147</v>
      </c>
    </row>
    <row r="48">
      <c r="L48" s="3">
        <v>1.0</v>
      </c>
      <c r="M48" s="3" t="s">
        <v>148</v>
      </c>
    </row>
    <row r="49">
      <c r="L49" s="3">
        <v>2.0</v>
      </c>
      <c r="M49" s="3" t="s">
        <v>149</v>
      </c>
    </row>
    <row r="50">
      <c r="L50" s="3">
        <v>3.0</v>
      </c>
      <c r="M50" s="3" t="s">
        <v>150</v>
      </c>
    </row>
    <row r="52">
      <c r="M52" s="3" t="s">
        <v>151</v>
      </c>
    </row>
    <row r="54">
      <c r="M54" s="3" t="s">
        <v>152</v>
      </c>
    </row>
    <row r="55">
      <c r="L55" s="3">
        <v>1.0</v>
      </c>
      <c r="M55" s="3" t="s">
        <v>153</v>
      </c>
    </row>
    <row r="56">
      <c r="L56" s="3">
        <v>2.0</v>
      </c>
      <c r="M56" s="3" t="s">
        <v>154</v>
      </c>
    </row>
    <row r="57">
      <c r="L57" s="3">
        <v>3.0</v>
      </c>
      <c r="M57" s="3" t="s">
        <v>155</v>
      </c>
    </row>
    <row r="59">
      <c r="M59" s="3" t="s">
        <v>156</v>
      </c>
    </row>
    <row r="60">
      <c r="M60" s="176" t="s">
        <v>157</v>
      </c>
      <c r="N60" s="177"/>
      <c r="O60" s="177"/>
    </row>
    <row r="61">
      <c r="L61" s="3">
        <v>1.0</v>
      </c>
      <c r="M61" s="3" t="s">
        <v>158</v>
      </c>
    </row>
    <row r="62">
      <c r="L62" s="3">
        <v>2.0</v>
      </c>
      <c r="M62" s="3" t="s">
        <v>159</v>
      </c>
    </row>
    <row r="63">
      <c r="L63" s="3">
        <v>3.0</v>
      </c>
      <c r="M63" s="3" t="s">
        <v>160</v>
      </c>
    </row>
    <row r="65">
      <c r="L65" s="3">
        <v>1.0</v>
      </c>
      <c r="M65" s="3" t="s">
        <v>161</v>
      </c>
    </row>
    <row r="66">
      <c r="L66" s="3">
        <v>2.0</v>
      </c>
      <c r="M66" s="3" t="s">
        <v>162</v>
      </c>
    </row>
    <row r="67">
      <c r="L67" s="3">
        <v>3.0</v>
      </c>
      <c r="M67" s="3" t="s">
        <v>163</v>
      </c>
    </row>
    <row r="69">
      <c r="L69" s="142"/>
      <c r="M69" s="174" t="s">
        <v>133</v>
      </c>
      <c r="N69" s="174" t="s">
        <v>134</v>
      </c>
      <c r="O69" s="174" t="s">
        <v>135</v>
      </c>
      <c r="P69" s="174" t="s">
        <v>136</v>
      </c>
      <c r="Q69" s="174" t="s">
        <v>137</v>
      </c>
      <c r="R69" s="174" t="s">
        <v>138</v>
      </c>
    </row>
    <row r="70">
      <c r="L70" s="174">
        <v>1.0</v>
      </c>
      <c r="M70" s="175" t="s">
        <v>139</v>
      </c>
      <c r="N70" s="175">
        <v>100.0</v>
      </c>
      <c r="O70" s="175" t="s">
        <v>140</v>
      </c>
      <c r="P70" s="175" t="s">
        <v>164</v>
      </c>
      <c r="Q70" s="175" t="s">
        <v>165</v>
      </c>
      <c r="R70" s="175" t="s">
        <v>80</v>
      </c>
    </row>
    <row r="71">
      <c r="L71" s="174">
        <v>2.0</v>
      </c>
      <c r="M71" s="175" t="s">
        <v>139</v>
      </c>
      <c r="N71" s="175">
        <v>100.0</v>
      </c>
      <c r="O71" s="175" t="s">
        <v>143</v>
      </c>
      <c r="P71" s="175" t="s">
        <v>164</v>
      </c>
      <c r="Q71" s="175" t="s">
        <v>166</v>
      </c>
      <c r="R71" s="175" t="s">
        <v>80</v>
      </c>
    </row>
    <row r="72">
      <c r="L72" s="174">
        <v>3.0</v>
      </c>
      <c r="M72" s="175" t="s">
        <v>139</v>
      </c>
      <c r="N72" s="175">
        <v>100.0</v>
      </c>
      <c r="O72" s="175" t="s">
        <v>145</v>
      </c>
      <c r="P72" s="175" t="s">
        <v>164</v>
      </c>
      <c r="Q72" s="175" t="s">
        <v>167</v>
      </c>
      <c r="R72" s="175" t="s">
        <v>80</v>
      </c>
    </row>
    <row r="74">
      <c r="L74" s="142"/>
      <c r="M74" s="174" t="s">
        <v>133</v>
      </c>
      <c r="N74" s="174" t="s">
        <v>134</v>
      </c>
      <c r="O74" s="174" t="s">
        <v>135</v>
      </c>
      <c r="P74" s="174" t="s">
        <v>136</v>
      </c>
      <c r="Q74" s="174" t="s">
        <v>137</v>
      </c>
      <c r="R74" s="174" t="s">
        <v>138</v>
      </c>
    </row>
    <row r="75">
      <c r="L75" s="174">
        <v>1.0</v>
      </c>
      <c r="M75" s="175" t="s">
        <v>139</v>
      </c>
      <c r="N75" s="175">
        <v>475.0</v>
      </c>
      <c r="O75" s="175" t="s">
        <v>140</v>
      </c>
      <c r="P75" s="175" t="s">
        <v>164</v>
      </c>
      <c r="Q75" s="175" t="s">
        <v>165</v>
      </c>
      <c r="R75" s="175" t="s">
        <v>80</v>
      </c>
    </row>
    <row r="76">
      <c r="L76" s="174">
        <v>2.0</v>
      </c>
      <c r="M76" s="175" t="s">
        <v>139</v>
      </c>
      <c r="N76" s="175">
        <v>475.0</v>
      </c>
      <c r="O76" s="175" t="s">
        <v>143</v>
      </c>
      <c r="P76" s="175" t="s">
        <v>164</v>
      </c>
      <c r="Q76" s="175" t="s">
        <v>168</v>
      </c>
      <c r="R76" s="175" t="s">
        <v>80</v>
      </c>
    </row>
    <row r="77">
      <c r="L77" s="174">
        <v>3.0</v>
      </c>
      <c r="M77" s="175" t="s">
        <v>139</v>
      </c>
      <c r="N77" s="175">
        <v>475.0</v>
      </c>
      <c r="O77" s="175" t="s">
        <v>145</v>
      </c>
      <c r="P77" s="175" t="s">
        <v>164</v>
      </c>
      <c r="Q77" s="175" t="s">
        <v>169</v>
      </c>
      <c r="R77" s="175" t="s">
        <v>80</v>
      </c>
    </row>
    <row r="79">
      <c r="L79" s="142"/>
      <c r="M79" s="174" t="s">
        <v>133</v>
      </c>
      <c r="N79" s="174" t="s">
        <v>134</v>
      </c>
      <c r="O79" s="174" t="s">
        <v>135</v>
      </c>
      <c r="P79" s="174" t="s">
        <v>136</v>
      </c>
      <c r="Q79" s="174" t="s">
        <v>137</v>
      </c>
      <c r="R79" s="174" t="s">
        <v>138</v>
      </c>
    </row>
    <row r="80">
      <c r="L80" s="174">
        <v>1.0</v>
      </c>
      <c r="M80" s="175" t="s">
        <v>139</v>
      </c>
      <c r="N80" s="175">
        <v>475.0</v>
      </c>
      <c r="O80" s="175" t="s">
        <v>140</v>
      </c>
      <c r="P80" s="175" t="s">
        <v>170</v>
      </c>
      <c r="Q80" s="175" t="s">
        <v>165</v>
      </c>
      <c r="R80" s="175" t="s">
        <v>80</v>
      </c>
    </row>
    <row r="81">
      <c r="L81" s="174">
        <v>2.0</v>
      </c>
      <c r="M81" s="175" t="s">
        <v>139</v>
      </c>
      <c r="N81" s="175">
        <v>475.0</v>
      </c>
      <c r="O81" s="175" t="s">
        <v>143</v>
      </c>
      <c r="P81" s="175" t="s">
        <v>170</v>
      </c>
      <c r="Q81" s="175" t="s">
        <v>171</v>
      </c>
      <c r="R81" s="175" t="s">
        <v>80</v>
      </c>
    </row>
    <row r="82">
      <c r="L82" s="174">
        <v>3.0</v>
      </c>
      <c r="M82" s="175" t="s">
        <v>139</v>
      </c>
      <c r="N82" s="175">
        <v>475.0</v>
      </c>
      <c r="O82" s="175" t="s">
        <v>145</v>
      </c>
      <c r="P82" s="175" t="s">
        <v>170</v>
      </c>
      <c r="Q82" s="175" t="s">
        <v>172</v>
      </c>
      <c r="R82" s="175" t="s">
        <v>80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</sheetPr>
  <sheetViews>
    <sheetView workbookViewId="0"/>
  </sheetViews>
  <sheetFormatPr customHeight="1" defaultColWidth="12.63" defaultRowHeight="15.75" outlineLevelCol="1"/>
  <cols>
    <col hidden="1" min="1" max="5" width="12.63" outlineLevel="1"/>
    <col customWidth="1" hidden="1" min="6" max="6" width="20.25" outlineLevel="1"/>
    <col customWidth="1" hidden="1" min="7" max="7" width="18.75" outlineLevel="1"/>
    <col hidden="1" min="8" max="11" width="12.63" outlineLevel="1"/>
    <col collapsed="1" min="12" max="12" width="12.63"/>
  </cols>
  <sheetData>
    <row r="2">
      <c r="H2" s="3" t="s">
        <v>173</v>
      </c>
      <c r="J2" s="3" t="s">
        <v>174</v>
      </c>
      <c r="K2" s="3">
        <v>27.0</v>
      </c>
    </row>
    <row r="3">
      <c r="B3" s="3">
        <v>0.0</v>
      </c>
      <c r="F3" s="5">
        <v>100.0</v>
      </c>
      <c r="G3" s="3" t="s">
        <v>73</v>
      </c>
      <c r="H3" s="5">
        <v>27.0</v>
      </c>
      <c r="J3" s="3" t="s">
        <v>175</v>
      </c>
      <c r="K3" s="3">
        <v>25.0</v>
      </c>
      <c r="M3" s="178" t="s">
        <v>176</v>
      </c>
      <c r="N3" s="179"/>
      <c r="O3" s="179"/>
      <c r="P3" s="179"/>
      <c r="Q3" s="180"/>
    </row>
    <row r="4">
      <c r="B4" s="3" t="s">
        <v>6</v>
      </c>
      <c r="D4" s="3" t="s">
        <v>177</v>
      </c>
      <c r="F4" s="3" t="s">
        <v>178</v>
      </c>
      <c r="G4" s="3" t="s">
        <v>29</v>
      </c>
      <c r="H4" s="3">
        <v>1.0</v>
      </c>
      <c r="J4" s="3" t="s">
        <v>179</v>
      </c>
      <c r="K4" s="3">
        <v>20.0</v>
      </c>
    </row>
    <row r="5">
      <c r="A5" s="128" t="s">
        <v>83</v>
      </c>
      <c r="B5" s="3">
        <f t="shared" ref="B5:B19" si="1">C5+$B$3</f>
        <v>10</v>
      </c>
      <c r="C5" s="3">
        <v>10.0</v>
      </c>
      <c r="D5" s="4">
        <f t="shared" ref="D5:D19" si="2">1-(B5/1000)</f>
        <v>0.99</v>
      </c>
      <c r="F5" s="4">
        <f>ROUND(POWER($F$3/100,0.5),3)</f>
        <v>1</v>
      </c>
      <c r="H5" s="4">
        <f t="shared" ref="H5:H19" si="3">$H$3*$F$5*D5*$H$4</f>
        <v>26.73</v>
      </c>
      <c r="J5" s="3" t="s">
        <v>180</v>
      </c>
      <c r="K5" s="3">
        <v>15.0</v>
      </c>
    </row>
    <row r="6">
      <c r="A6" s="128" t="s">
        <v>13</v>
      </c>
      <c r="B6" s="3">
        <f t="shared" si="1"/>
        <v>13</v>
      </c>
      <c r="C6" s="3">
        <v>13.0</v>
      </c>
      <c r="D6" s="4">
        <f t="shared" si="2"/>
        <v>0.987</v>
      </c>
      <c r="H6" s="4">
        <f t="shared" si="3"/>
        <v>26.649</v>
      </c>
      <c r="J6" s="3" t="s">
        <v>181</v>
      </c>
      <c r="K6" s="3">
        <v>10.0</v>
      </c>
    </row>
    <row r="7">
      <c r="A7" s="128" t="s">
        <v>14</v>
      </c>
      <c r="B7" s="3">
        <f t="shared" si="1"/>
        <v>13</v>
      </c>
      <c r="C7" s="3">
        <v>13.0</v>
      </c>
      <c r="D7" s="4">
        <f t="shared" si="2"/>
        <v>0.987</v>
      </c>
      <c r="H7" s="4">
        <f t="shared" si="3"/>
        <v>26.649</v>
      </c>
      <c r="J7" s="3" t="s">
        <v>182</v>
      </c>
      <c r="K7" s="3">
        <v>5.0</v>
      </c>
    </row>
    <row r="8">
      <c r="A8" s="128" t="s">
        <v>15</v>
      </c>
      <c r="B8" s="3">
        <f t="shared" si="1"/>
        <v>13</v>
      </c>
      <c r="C8" s="3">
        <v>13.0</v>
      </c>
      <c r="D8" s="4">
        <f t="shared" si="2"/>
        <v>0.987</v>
      </c>
      <c r="H8" s="4">
        <f t="shared" si="3"/>
        <v>26.649</v>
      </c>
      <c r="M8" s="129" t="s">
        <v>183</v>
      </c>
      <c r="N8" s="130"/>
      <c r="O8" s="130"/>
      <c r="P8" s="130"/>
      <c r="Q8" s="130"/>
      <c r="R8" s="130"/>
      <c r="S8" s="130"/>
      <c r="T8" s="130"/>
      <c r="U8" s="131"/>
    </row>
    <row r="9">
      <c r="A9" s="128" t="s">
        <v>16</v>
      </c>
      <c r="B9" s="3">
        <f t="shared" si="1"/>
        <v>13</v>
      </c>
      <c r="C9" s="3">
        <v>13.0</v>
      </c>
      <c r="D9" s="4">
        <f t="shared" si="2"/>
        <v>0.987</v>
      </c>
      <c r="H9" s="4">
        <f t="shared" si="3"/>
        <v>26.649</v>
      </c>
      <c r="M9" s="181" t="s">
        <v>184</v>
      </c>
      <c r="N9" s="182"/>
      <c r="O9" s="182"/>
      <c r="P9" s="182"/>
      <c r="Q9" s="182"/>
      <c r="R9" s="182"/>
      <c r="S9" s="182"/>
      <c r="T9" s="182"/>
      <c r="U9" s="183"/>
    </row>
    <row r="10">
      <c r="A10" s="128" t="s">
        <v>17</v>
      </c>
      <c r="B10" s="3">
        <f t="shared" si="1"/>
        <v>13</v>
      </c>
      <c r="C10" s="3">
        <v>13.0</v>
      </c>
      <c r="D10" s="4">
        <f t="shared" si="2"/>
        <v>0.987</v>
      </c>
      <c r="H10" s="4">
        <f t="shared" si="3"/>
        <v>26.649</v>
      </c>
      <c r="M10" s="123" t="s">
        <v>185</v>
      </c>
      <c r="N10" s="6"/>
      <c r="O10" s="6"/>
      <c r="P10" s="6"/>
      <c r="Q10" s="182"/>
      <c r="R10" s="140" t="s">
        <v>186</v>
      </c>
      <c r="S10" s="182"/>
      <c r="T10" s="182"/>
      <c r="U10" s="183"/>
    </row>
    <row r="11">
      <c r="A11" s="128" t="s">
        <v>18</v>
      </c>
      <c r="B11" s="3">
        <f t="shared" si="1"/>
        <v>20</v>
      </c>
      <c r="C11" s="3">
        <v>20.0</v>
      </c>
      <c r="D11" s="4">
        <f t="shared" si="2"/>
        <v>0.98</v>
      </c>
      <c r="H11" s="4">
        <f t="shared" si="3"/>
        <v>26.46</v>
      </c>
      <c r="M11" s="181" t="s">
        <v>187</v>
      </c>
      <c r="N11" s="182"/>
      <c r="O11" s="182"/>
      <c r="P11" s="182"/>
      <c r="Q11" s="182"/>
      <c r="R11" s="182"/>
      <c r="S11" s="182"/>
      <c r="T11" s="182"/>
      <c r="U11" s="183"/>
    </row>
    <row r="12">
      <c r="A12" s="128" t="s">
        <v>19</v>
      </c>
      <c r="B12" s="3">
        <f t="shared" si="1"/>
        <v>20</v>
      </c>
      <c r="C12" s="3">
        <v>20.0</v>
      </c>
      <c r="D12" s="4">
        <f t="shared" si="2"/>
        <v>0.98</v>
      </c>
      <c r="H12" s="4">
        <f t="shared" si="3"/>
        <v>26.46</v>
      </c>
      <c r="M12" s="184"/>
      <c r="N12" s="182"/>
      <c r="O12" s="182"/>
      <c r="P12" s="182"/>
      <c r="Q12" s="182"/>
      <c r="R12" s="182"/>
      <c r="S12" s="182"/>
      <c r="T12" s="182"/>
      <c r="U12" s="183"/>
    </row>
    <row r="13">
      <c r="A13" s="128" t="s">
        <v>20</v>
      </c>
      <c r="B13" s="3">
        <f t="shared" si="1"/>
        <v>20</v>
      </c>
      <c r="C13" s="3">
        <v>20.0</v>
      </c>
      <c r="D13" s="4">
        <f t="shared" si="2"/>
        <v>0.98</v>
      </c>
      <c r="H13" s="4">
        <f t="shared" si="3"/>
        <v>26.46</v>
      </c>
      <c r="M13" s="181" t="s">
        <v>86</v>
      </c>
      <c r="N13" s="182"/>
      <c r="O13" s="182"/>
      <c r="P13" s="182"/>
      <c r="Q13" s="182"/>
      <c r="R13" s="182"/>
      <c r="S13" s="182"/>
      <c r="T13" s="182"/>
      <c r="U13" s="183"/>
    </row>
    <row r="14">
      <c r="A14" s="128" t="s">
        <v>21</v>
      </c>
      <c r="B14" s="3">
        <f t="shared" si="1"/>
        <v>25</v>
      </c>
      <c r="C14" s="3">
        <v>25.0</v>
      </c>
      <c r="D14" s="4">
        <f t="shared" si="2"/>
        <v>0.975</v>
      </c>
      <c r="H14" s="4">
        <f t="shared" si="3"/>
        <v>26.325</v>
      </c>
      <c r="M14" s="184"/>
      <c r="N14" s="185" t="s">
        <v>80</v>
      </c>
      <c r="O14" s="185" t="s">
        <v>33</v>
      </c>
      <c r="P14" s="185" t="s">
        <v>81</v>
      </c>
      <c r="Q14" s="185" t="s">
        <v>32</v>
      </c>
      <c r="R14" s="185" t="s">
        <v>82</v>
      </c>
      <c r="S14" s="182"/>
      <c r="T14" s="182"/>
      <c r="U14" s="183"/>
    </row>
    <row r="15">
      <c r="A15" s="128" t="s">
        <v>22</v>
      </c>
      <c r="B15" s="3">
        <f t="shared" si="1"/>
        <v>25</v>
      </c>
      <c r="C15" s="3">
        <v>25.0</v>
      </c>
      <c r="D15" s="4">
        <f t="shared" si="2"/>
        <v>0.975</v>
      </c>
      <c r="H15" s="4">
        <f t="shared" si="3"/>
        <v>26.325</v>
      </c>
      <c r="M15" s="186" t="s">
        <v>83</v>
      </c>
      <c r="N15" s="187">
        <v>1.4</v>
      </c>
      <c r="O15" s="187">
        <v>1.4</v>
      </c>
      <c r="P15" s="187">
        <v>2.0</v>
      </c>
      <c r="Q15" s="187">
        <v>2.5</v>
      </c>
      <c r="R15" s="187">
        <v>1.3</v>
      </c>
      <c r="S15" s="182"/>
      <c r="T15" s="182"/>
      <c r="U15" s="183"/>
    </row>
    <row r="16">
      <c r="A16" s="128" t="s">
        <v>23</v>
      </c>
      <c r="B16" s="3">
        <f t="shared" si="1"/>
        <v>25</v>
      </c>
      <c r="C16" s="3">
        <v>25.0</v>
      </c>
      <c r="D16" s="4">
        <f t="shared" si="2"/>
        <v>0.975</v>
      </c>
      <c r="H16" s="4">
        <f t="shared" si="3"/>
        <v>26.325</v>
      </c>
      <c r="M16" s="186" t="s">
        <v>13</v>
      </c>
      <c r="N16" s="187">
        <v>1.0</v>
      </c>
      <c r="O16" s="187">
        <v>1.4</v>
      </c>
      <c r="P16" s="187">
        <v>2.0</v>
      </c>
      <c r="Q16" s="187">
        <v>2.5</v>
      </c>
      <c r="R16" s="187">
        <v>1.3</v>
      </c>
      <c r="S16" s="182"/>
      <c r="T16" s="182"/>
      <c r="U16" s="183"/>
    </row>
    <row r="17">
      <c r="A17" s="128" t="s">
        <v>24</v>
      </c>
      <c r="B17" s="3">
        <f t="shared" si="1"/>
        <v>25</v>
      </c>
      <c r="C17" s="3">
        <v>25.0</v>
      </c>
      <c r="D17" s="4">
        <f t="shared" si="2"/>
        <v>0.975</v>
      </c>
      <c r="H17" s="4">
        <f t="shared" si="3"/>
        <v>26.325</v>
      </c>
      <c r="M17" s="186" t="s">
        <v>14</v>
      </c>
      <c r="N17" s="187">
        <v>1.0</v>
      </c>
      <c r="O17" s="187">
        <v>1.4</v>
      </c>
      <c r="P17" s="187">
        <v>2.0</v>
      </c>
      <c r="Q17" s="187">
        <v>2.5</v>
      </c>
      <c r="R17" s="187">
        <v>1.3</v>
      </c>
      <c r="S17" s="182"/>
      <c r="T17" s="182"/>
      <c r="U17" s="183"/>
    </row>
    <row r="18">
      <c r="A18" s="128" t="s">
        <v>26</v>
      </c>
      <c r="B18" s="3">
        <f t="shared" si="1"/>
        <v>25</v>
      </c>
      <c r="C18" s="3">
        <v>25.0</v>
      </c>
      <c r="D18" s="4">
        <f t="shared" si="2"/>
        <v>0.975</v>
      </c>
      <c r="H18" s="4">
        <f t="shared" si="3"/>
        <v>26.325</v>
      </c>
      <c r="M18" s="186" t="s">
        <v>15</v>
      </c>
      <c r="N18" s="187">
        <v>1.0</v>
      </c>
      <c r="O18" s="187">
        <v>1.4</v>
      </c>
      <c r="P18" s="187">
        <v>2.0</v>
      </c>
      <c r="Q18" s="187">
        <v>2.5</v>
      </c>
      <c r="R18" s="187">
        <v>1.3</v>
      </c>
      <c r="S18" s="182"/>
      <c r="T18" s="182"/>
      <c r="U18" s="183"/>
    </row>
    <row r="19">
      <c r="A19" s="128" t="s">
        <v>67</v>
      </c>
      <c r="B19" s="3">
        <f t="shared" si="1"/>
        <v>55</v>
      </c>
      <c r="C19" s="3">
        <v>55.0</v>
      </c>
      <c r="D19" s="4">
        <f t="shared" si="2"/>
        <v>0.945</v>
      </c>
      <c r="H19" s="4">
        <f t="shared" si="3"/>
        <v>25.515</v>
      </c>
      <c r="M19" s="186" t="s">
        <v>16</v>
      </c>
      <c r="N19" s="187">
        <v>1.0</v>
      </c>
      <c r="O19" s="187">
        <v>1.3</v>
      </c>
      <c r="P19" s="187">
        <v>1.8</v>
      </c>
      <c r="Q19" s="187">
        <v>2.2</v>
      </c>
      <c r="R19" s="187">
        <v>1.25</v>
      </c>
      <c r="S19" s="182"/>
      <c r="T19" s="182"/>
      <c r="U19" s="183"/>
    </row>
    <row r="20">
      <c r="M20" s="186" t="s">
        <v>17</v>
      </c>
      <c r="N20" s="187">
        <v>1.0</v>
      </c>
      <c r="O20" s="187">
        <v>1.3</v>
      </c>
      <c r="P20" s="187">
        <v>1.8</v>
      </c>
      <c r="Q20" s="187">
        <v>2.2</v>
      </c>
      <c r="R20" s="187">
        <v>1.25</v>
      </c>
      <c r="S20" s="182"/>
      <c r="T20" s="182"/>
      <c r="U20" s="183"/>
    </row>
    <row r="21">
      <c r="M21" s="186" t="s">
        <v>18</v>
      </c>
      <c r="N21" s="187">
        <v>1.0</v>
      </c>
      <c r="O21" s="187">
        <v>1.25</v>
      </c>
      <c r="P21" s="187">
        <v>1.6</v>
      </c>
      <c r="Q21" s="187">
        <v>2.0</v>
      </c>
      <c r="R21" s="187">
        <v>1.2</v>
      </c>
      <c r="S21" s="182"/>
      <c r="T21" s="182"/>
      <c r="U21" s="183"/>
    </row>
    <row r="22">
      <c r="M22" s="186" t="s">
        <v>19</v>
      </c>
      <c r="N22" s="187">
        <v>1.0</v>
      </c>
      <c r="O22" s="187">
        <v>1.25</v>
      </c>
      <c r="P22" s="187">
        <v>1.6</v>
      </c>
      <c r="Q22" s="187">
        <v>2.0</v>
      </c>
      <c r="R22" s="187">
        <v>1.2</v>
      </c>
      <c r="S22" s="182"/>
      <c r="T22" s="182"/>
      <c r="U22" s="183"/>
    </row>
    <row r="23">
      <c r="M23" s="186" t="s">
        <v>20</v>
      </c>
      <c r="N23" s="187">
        <v>1.0</v>
      </c>
      <c r="O23" s="187">
        <v>1.25</v>
      </c>
      <c r="P23" s="187">
        <v>1.6</v>
      </c>
      <c r="Q23" s="187">
        <v>2.0</v>
      </c>
      <c r="R23" s="187">
        <v>1.2</v>
      </c>
      <c r="S23" s="182"/>
      <c r="T23" s="182"/>
      <c r="U23" s="183"/>
    </row>
    <row r="24">
      <c r="M24" s="186" t="s">
        <v>21</v>
      </c>
      <c r="N24" s="187">
        <v>1.0</v>
      </c>
      <c r="O24" s="187">
        <v>1.2</v>
      </c>
      <c r="P24" s="187">
        <v>1.45</v>
      </c>
      <c r="Q24" s="187">
        <v>1.7</v>
      </c>
      <c r="R24" s="187">
        <v>1.15</v>
      </c>
      <c r="S24" s="182"/>
      <c r="T24" s="182"/>
      <c r="U24" s="183"/>
    </row>
    <row r="25">
      <c r="A25" s="3" t="s">
        <v>86</v>
      </c>
      <c r="M25" s="186" t="s">
        <v>22</v>
      </c>
      <c r="N25" s="187">
        <v>1.0</v>
      </c>
      <c r="O25" s="187">
        <v>1.2</v>
      </c>
      <c r="P25" s="187">
        <v>1.45</v>
      </c>
      <c r="Q25" s="187">
        <v>1.7</v>
      </c>
      <c r="R25" s="187">
        <v>1.15</v>
      </c>
      <c r="S25" s="182"/>
      <c r="T25" s="182"/>
      <c r="U25" s="183"/>
    </row>
    <row r="26">
      <c r="A26" s="139"/>
      <c r="B26" s="128" t="s">
        <v>80</v>
      </c>
      <c r="C26" s="128" t="s">
        <v>33</v>
      </c>
      <c r="D26" s="128" t="s">
        <v>81</v>
      </c>
      <c r="E26" s="128" t="s">
        <v>32</v>
      </c>
      <c r="F26" s="128" t="s">
        <v>82</v>
      </c>
      <c r="G26" s="185" t="s">
        <v>80</v>
      </c>
      <c r="H26" s="185" t="s">
        <v>33</v>
      </c>
      <c r="I26" s="185" t="s">
        <v>81</v>
      </c>
      <c r="J26" s="185" t="s">
        <v>32</v>
      </c>
      <c r="K26" s="185" t="s">
        <v>82</v>
      </c>
      <c r="M26" s="186" t="s">
        <v>23</v>
      </c>
      <c r="N26" s="187">
        <v>1.0</v>
      </c>
      <c r="O26" s="187">
        <v>1.15</v>
      </c>
      <c r="P26" s="187">
        <v>1.4</v>
      </c>
      <c r="Q26" s="187">
        <v>1.5</v>
      </c>
      <c r="R26" s="187">
        <v>1.1</v>
      </c>
      <c r="S26" s="182"/>
      <c r="T26" s="182"/>
      <c r="U26" s="183"/>
    </row>
    <row r="27">
      <c r="A27" s="128" t="s">
        <v>83</v>
      </c>
      <c r="B27" s="140">
        <v>1.0</v>
      </c>
      <c r="C27" s="140">
        <v>1.4</v>
      </c>
      <c r="D27" s="140">
        <v>2.0</v>
      </c>
      <c r="E27" s="140">
        <v>2.5</v>
      </c>
      <c r="F27" s="140">
        <v>1.3</v>
      </c>
      <c r="G27" s="182">
        <f>$H5/B27</f>
        <v>26.73</v>
      </c>
      <c r="H27" s="182">
        <f t="shared" ref="H27:K27" si="4">$H5*C27</f>
        <v>37.422</v>
      </c>
      <c r="I27" s="182">
        <f t="shared" si="4"/>
        <v>53.46</v>
      </c>
      <c r="J27" s="182">
        <f t="shared" si="4"/>
        <v>66.825</v>
      </c>
      <c r="K27" s="182">
        <f t="shared" si="4"/>
        <v>34.749</v>
      </c>
      <c r="M27" s="186" t="s">
        <v>24</v>
      </c>
      <c r="N27" s="187">
        <v>1.0</v>
      </c>
      <c r="O27" s="187">
        <v>1.15</v>
      </c>
      <c r="P27" s="187">
        <v>1.4</v>
      </c>
      <c r="Q27" s="187">
        <v>1.5</v>
      </c>
      <c r="R27" s="187">
        <v>1.1</v>
      </c>
      <c r="S27" s="182"/>
      <c r="T27" s="182"/>
      <c r="U27" s="183"/>
    </row>
    <row r="28">
      <c r="A28" s="128" t="s">
        <v>13</v>
      </c>
      <c r="B28" s="140">
        <v>1.0</v>
      </c>
      <c r="C28" s="140">
        <v>1.4</v>
      </c>
      <c r="D28" s="140">
        <v>2.0</v>
      </c>
      <c r="E28" s="140">
        <v>2.5</v>
      </c>
      <c r="F28" s="140">
        <v>1.3</v>
      </c>
      <c r="G28" s="182">
        <f t="shared" ref="G28:K28" si="5">$H6*B28</f>
        <v>26.649</v>
      </c>
      <c r="H28" s="182">
        <f t="shared" si="5"/>
        <v>37.3086</v>
      </c>
      <c r="I28" s="182">
        <f t="shared" si="5"/>
        <v>53.298</v>
      </c>
      <c r="J28" s="182">
        <f t="shared" si="5"/>
        <v>66.6225</v>
      </c>
      <c r="K28" s="182">
        <f t="shared" si="5"/>
        <v>34.6437</v>
      </c>
      <c r="M28" s="186" t="s">
        <v>26</v>
      </c>
      <c r="N28" s="187">
        <v>1.0</v>
      </c>
      <c r="O28" s="187">
        <v>1.15</v>
      </c>
      <c r="P28" s="187">
        <v>1.4</v>
      </c>
      <c r="Q28" s="187">
        <v>1.3</v>
      </c>
      <c r="R28" s="187">
        <v>1.1</v>
      </c>
      <c r="S28" s="182"/>
      <c r="T28" s="182"/>
      <c r="U28" s="183"/>
    </row>
    <row r="29">
      <c r="A29" s="128" t="s">
        <v>14</v>
      </c>
      <c r="B29" s="140">
        <v>1.0</v>
      </c>
      <c r="C29" s="140">
        <v>1.4</v>
      </c>
      <c r="D29" s="140">
        <v>2.0</v>
      </c>
      <c r="E29" s="140">
        <v>2.5</v>
      </c>
      <c r="F29" s="140">
        <v>1.3</v>
      </c>
      <c r="G29" s="182">
        <f t="shared" ref="G29:K29" si="6">$H7*B29</f>
        <v>26.649</v>
      </c>
      <c r="H29" s="182">
        <f t="shared" si="6"/>
        <v>37.3086</v>
      </c>
      <c r="I29" s="182">
        <f t="shared" si="6"/>
        <v>53.298</v>
      </c>
      <c r="J29" s="182">
        <f t="shared" si="6"/>
        <v>66.6225</v>
      </c>
      <c r="K29" s="182">
        <f t="shared" si="6"/>
        <v>34.6437</v>
      </c>
      <c r="M29" s="188" t="s">
        <v>67</v>
      </c>
      <c r="N29" s="189" t="s">
        <v>68</v>
      </c>
      <c r="O29" s="189" t="s">
        <v>68</v>
      </c>
      <c r="P29" s="189" t="s">
        <v>68</v>
      </c>
      <c r="Q29" s="189" t="s">
        <v>68</v>
      </c>
      <c r="R29" s="189" t="s">
        <v>68</v>
      </c>
      <c r="S29" s="190"/>
      <c r="T29" s="190"/>
      <c r="U29" s="191"/>
    </row>
    <row r="30">
      <c r="A30" s="128" t="s">
        <v>15</v>
      </c>
      <c r="B30" s="140">
        <v>1.0</v>
      </c>
      <c r="C30" s="140">
        <v>1.4</v>
      </c>
      <c r="D30" s="140">
        <v>2.0</v>
      </c>
      <c r="E30" s="140">
        <v>2.5</v>
      </c>
      <c r="F30" s="140">
        <v>1.3</v>
      </c>
      <c r="G30" s="182">
        <f t="shared" ref="G30:K30" si="7">$H8*B30</f>
        <v>26.649</v>
      </c>
      <c r="H30" s="182">
        <f t="shared" si="7"/>
        <v>37.3086</v>
      </c>
      <c r="I30" s="182">
        <f t="shared" si="7"/>
        <v>53.298</v>
      </c>
      <c r="J30" s="182">
        <f t="shared" si="7"/>
        <v>66.6225</v>
      </c>
      <c r="K30" s="182">
        <f t="shared" si="7"/>
        <v>34.6437</v>
      </c>
    </row>
    <row r="31">
      <c r="A31" s="128" t="s">
        <v>16</v>
      </c>
      <c r="B31" s="140">
        <v>1.0</v>
      </c>
      <c r="C31" s="140">
        <v>1.3</v>
      </c>
      <c r="D31" s="140">
        <v>1.8</v>
      </c>
      <c r="E31" s="140">
        <v>2.2</v>
      </c>
      <c r="F31" s="140">
        <v>1.25</v>
      </c>
      <c r="G31" s="182">
        <f t="shared" ref="G31:K31" si="8">$H9*B31</f>
        <v>26.649</v>
      </c>
      <c r="H31" s="182">
        <f t="shared" si="8"/>
        <v>34.6437</v>
      </c>
      <c r="I31" s="182">
        <f t="shared" si="8"/>
        <v>47.9682</v>
      </c>
      <c r="J31" s="182">
        <f t="shared" si="8"/>
        <v>58.6278</v>
      </c>
      <c r="K31" s="182">
        <f t="shared" si="8"/>
        <v>33.31125</v>
      </c>
    </row>
    <row r="32">
      <c r="A32" s="128" t="s">
        <v>17</v>
      </c>
      <c r="B32" s="140">
        <v>1.0</v>
      </c>
      <c r="C32" s="140">
        <v>1.3</v>
      </c>
      <c r="D32" s="140">
        <v>1.8</v>
      </c>
      <c r="E32" s="140">
        <v>2.2</v>
      </c>
      <c r="F32" s="140">
        <v>1.25</v>
      </c>
      <c r="G32" s="182">
        <f t="shared" ref="G32:K32" si="9">$H10*B32</f>
        <v>26.649</v>
      </c>
      <c r="H32" s="182">
        <f t="shared" si="9"/>
        <v>34.6437</v>
      </c>
      <c r="I32" s="182">
        <f t="shared" si="9"/>
        <v>47.9682</v>
      </c>
      <c r="J32" s="182">
        <f t="shared" si="9"/>
        <v>58.6278</v>
      </c>
      <c r="K32" s="182">
        <f t="shared" si="9"/>
        <v>33.31125</v>
      </c>
    </row>
    <row r="33">
      <c r="A33" s="128" t="s">
        <v>18</v>
      </c>
      <c r="B33" s="140">
        <v>1.0</v>
      </c>
      <c r="C33" s="140">
        <v>1.25</v>
      </c>
      <c r="D33" s="140">
        <v>1.6</v>
      </c>
      <c r="E33" s="140">
        <v>2.0</v>
      </c>
      <c r="F33" s="140">
        <v>1.2</v>
      </c>
      <c r="G33" s="182">
        <f t="shared" ref="G33:K33" si="10">$H11*B33</f>
        <v>26.46</v>
      </c>
      <c r="H33" s="182">
        <f t="shared" si="10"/>
        <v>33.075</v>
      </c>
      <c r="I33" s="182">
        <f t="shared" si="10"/>
        <v>42.336</v>
      </c>
      <c r="J33" s="182">
        <f t="shared" si="10"/>
        <v>52.92</v>
      </c>
      <c r="K33" s="182">
        <f t="shared" si="10"/>
        <v>31.752</v>
      </c>
    </row>
    <row r="34">
      <c r="A34" s="128" t="s">
        <v>19</v>
      </c>
      <c r="B34" s="140">
        <v>1.0</v>
      </c>
      <c r="C34" s="140">
        <v>1.25</v>
      </c>
      <c r="D34" s="140">
        <v>1.6</v>
      </c>
      <c r="E34" s="140">
        <v>2.0</v>
      </c>
      <c r="F34" s="140">
        <v>1.2</v>
      </c>
      <c r="G34" s="182">
        <f t="shared" ref="G34:K34" si="11">$H12*B34</f>
        <v>26.46</v>
      </c>
      <c r="H34" s="182">
        <f t="shared" si="11"/>
        <v>33.075</v>
      </c>
      <c r="I34" s="182">
        <f t="shared" si="11"/>
        <v>42.336</v>
      </c>
      <c r="J34" s="182">
        <f t="shared" si="11"/>
        <v>52.92</v>
      </c>
      <c r="K34" s="182">
        <f t="shared" si="11"/>
        <v>31.752</v>
      </c>
    </row>
    <row r="35">
      <c r="A35" s="128" t="s">
        <v>20</v>
      </c>
      <c r="B35" s="140">
        <v>1.0</v>
      </c>
      <c r="C35" s="140">
        <v>1.25</v>
      </c>
      <c r="D35" s="140">
        <v>1.6</v>
      </c>
      <c r="E35" s="140">
        <v>2.0</v>
      </c>
      <c r="F35" s="140">
        <v>1.2</v>
      </c>
      <c r="G35" s="182">
        <f t="shared" ref="G35:K35" si="12">$H13*B35</f>
        <v>26.46</v>
      </c>
      <c r="H35" s="182">
        <f t="shared" si="12"/>
        <v>33.075</v>
      </c>
      <c r="I35" s="182">
        <f t="shared" si="12"/>
        <v>42.336</v>
      </c>
      <c r="J35" s="182">
        <f t="shared" si="12"/>
        <v>52.92</v>
      </c>
      <c r="K35" s="182">
        <f t="shared" si="12"/>
        <v>31.752</v>
      </c>
    </row>
    <row r="36">
      <c r="A36" s="128" t="s">
        <v>21</v>
      </c>
      <c r="B36" s="140">
        <v>1.0</v>
      </c>
      <c r="C36" s="140">
        <v>1.2</v>
      </c>
      <c r="D36" s="140">
        <v>1.45</v>
      </c>
      <c r="E36" s="140">
        <v>1.7</v>
      </c>
      <c r="F36" s="140">
        <v>1.15</v>
      </c>
      <c r="G36" s="182">
        <f t="shared" ref="G36:K36" si="13">$H14*B36</f>
        <v>26.325</v>
      </c>
      <c r="H36" s="182">
        <f t="shared" si="13"/>
        <v>31.59</v>
      </c>
      <c r="I36" s="182">
        <f t="shared" si="13"/>
        <v>38.17125</v>
      </c>
      <c r="J36" s="182">
        <f t="shared" si="13"/>
        <v>44.7525</v>
      </c>
      <c r="K36" s="182">
        <f t="shared" si="13"/>
        <v>30.27375</v>
      </c>
    </row>
    <row r="37">
      <c r="A37" s="128" t="s">
        <v>22</v>
      </c>
      <c r="B37" s="140">
        <v>1.0</v>
      </c>
      <c r="C37" s="140">
        <v>1.2</v>
      </c>
      <c r="D37" s="140">
        <v>1.45</v>
      </c>
      <c r="E37" s="140">
        <v>1.7</v>
      </c>
      <c r="F37" s="140">
        <v>1.15</v>
      </c>
      <c r="G37" s="182">
        <f t="shared" ref="G37:K37" si="14">$H15*B37</f>
        <v>26.325</v>
      </c>
      <c r="H37" s="182">
        <f t="shared" si="14"/>
        <v>31.59</v>
      </c>
      <c r="I37" s="182">
        <f t="shared" si="14"/>
        <v>38.17125</v>
      </c>
      <c r="J37" s="182">
        <f t="shared" si="14"/>
        <v>44.7525</v>
      </c>
      <c r="K37" s="182">
        <f t="shared" si="14"/>
        <v>30.27375</v>
      </c>
    </row>
    <row r="38">
      <c r="A38" s="128" t="s">
        <v>23</v>
      </c>
      <c r="B38" s="140">
        <v>1.0</v>
      </c>
      <c r="C38" s="140">
        <v>1.15</v>
      </c>
      <c r="D38" s="140">
        <v>1.4</v>
      </c>
      <c r="E38" s="140">
        <v>1.5</v>
      </c>
      <c r="F38" s="140">
        <v>1.1</v>
      </c>
      <c r="G38" s="182">
        <f t="shared" ref="G38:K38" si="15">$H16*B38</f>
        <v>26.325</v>
      </c>
      <c r="H38" s="182">
        <f t="shared" si="15"/>
        <v>30.27375</v>
      </c>
      <c r="I38" s="182">
        <f t="shared" si="15"/>
        <v>36.855</v>
      </c>
      <c r="J38" s="182">
        <f t="shared" si="15"/>
        <v>39.4875</v>
      </c>
      <c r="K38" s="182">
        <f t="shared" si="15"/>
        <v>28.9575</v>
      </c>
    </row>
    <row r="39">
      <c r="A39" s="128" t="s">
        <v>24</v>
      </c>
      <c r="B39" s="140">
        <v>1.0</v>
      </c>
      <c r="C39" s="140">
        <v>1.15</v>
      </c>
      <c r="D39" s="140">
        <v>1.4</v>
      </c>
      <c r="E39" s="140">
        <v>1.5</v>
      </c>
      <c r="F39" s="140">
        <v>1.1</v>
      </c>
      <c r="G39" s="182">
        <f t="shared" ref="G39:K39" si="16">$H17*B39</f>
        <v>26.325</v>
      </c>
      <c r="H39" s="182">
        <f t="shared" si="16"/>
        <v>30.27375</v>
      </c>
      <c r="I39" s="182">
        <f t="shared" si="16"/>
        <v>36.855</v>
      </c>
      <c r="J39" s="182">
        <f t="shared" si="16"/>
        <v>39.4875</v>
      </c>
      <c r="K39" s="182">
        <f t="shared" si="16"/>
        <v>28.9575</v>
      </c>
    </row>
    <row r="40">
      <c r="A40" s="128" t="s">
        <v>26</v>
      </c>
      <c r="B40" s="140">
        <v>1.0</v>
      </c>
      <c r="C40" s="140">
        <v>1.15</v>
      </c>
      <c r="D40" s="140">
        <v>1.4</v>
      </c>
      <c r="E40" s="140">
        <v>1.3</v>
      </c>
      <c r="F40" s="140">
        <v>1.1</v>
      </c>
      <c r="G40" s="182">
        <f t="shared" ref="G40:K40" si="17">$H18*B40</f>
        <v>26.325</v>
      </c>
      <c r="H40" s="182">
        <f t="shared" si="17"/>
        <v>30.27375</v>
      </c>
      <c r="I40" s="182">
        <f t="shared" si="17"/>
        <v>36.855</v>
      </c>
      <c r="J40" s="182">
        <f t="shared" si="17"/>
        <v>34.2225</v>
      </c>
      <c r="K40" s="182">
        <f t="shared" si="17"/>
        <v>28.9575</v>
      </c>
    </row>
    <row r="41">
      <c r="A41" s="128" t="s">
        <v>67</v>
      </c>
      <c r="B41" s="140" t="s">
        <v>68</v>
      </c>
      <c r="C41" s="140" t="s">
        <v>68</v>
      </c>
      <c r="D41" s="140" t="s">
        <v>68</v>
      </c>
      <c r="E41" s="140" t="s">
        <v>68</v>
      </c>
      <c r="F41" s="140" t="s">
        <v>68</v>
      </c>
    </row>
  </sheetData>
  <dataValidations>
    <dataValidation type="list" allowBlank="1" showErrorMessage="1" sqref="H4">
      <formula1>"0,0.5,1"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</sheetPr>
  <sheetViews>
    <sheetView workbookViewId="0"/>
  </sheetViews>
  <sheetFormatPr customHeight="1" defaultColWidth="12.63" defaultRowHeight="15.75" outlineLevelCol="1"/>
  <cols>
    <col min="1" max="1" width="12.63" outlineLevel="1"/>
    <col customWidth="1" min="2" max="2" width="6.13" outlineLevel="1"/>
    <col customWidth="1" min="3" max="3" width="16.88" outlineLevel="1"/>
    <col min="4" max="12" width="12.63" outlineLevel="1"/>
  </cols>
  <sheetData>
    <row r="1">
      <c r="P1" s="178" t="s">
        <v>188</v>
      </c>
      <c r="Q1" s="179"/>
      <c r="R1" s="179"/>
      <c r="S1" s="180"/>
    </row>
    <row r="2">
      <c r="C2" s="192" t="s">
        <v>189</v>
      </c>
    </row>
    <row r="3">
      <c r="B3" s="193" t="s">
        <v>190</v>
      </c>
      <c r="C3" s="194"/>
      <c r="D3" s="195">
        <v>1.0</v>
      </c>
      <c r="E3" s="195">
        <v>2.0</v>
      </c>
      <c r="F3" s="195">
        <v>3.0</v>
      </c>
      <c r="G3" s="195">
        <v>4.0</v>
      </c>
      <c r="H3" s="195">
        <v>5.0</v>
      </c>
      <c r="I3" s="195">
        <v>6.0</v>
      </c>
      <c r="J3" s="195">
        <v>7.0</v>
      </c>
      <c r="K3" s="195">
        <v>8.0</v>
      </c>
      <c r="L3" s="195">
        <v>9.0</v>
      </c>
      <c r="N3" s="196"/>
      <c r="O3" s="130"/>
      <c r="P3" s="130"/>
      <c r="Q3" s="130"/>
      <c r="R3" s="130"/>
      <c r="S3" s="130"/>
      <c r="T3" s="130"/>
      <c r="U3" s="130"/>
      <c r="V3" s="130"/>
      <c r="W3" s="130"/>
      <c r="X3" s="131"/>
    </row>
    <row r="4">
      <c r="B4" s="193" t="s">
        <v>191</v>
      </c>
      <c r="C4" s="194"/>
      <c r="D4" s="195">
        <v>5.0</v>
      </c>
      <c r="E4" s="195">
        <v>4.0</v>
      </c>
      <c r="F4" s="195">
        <v>4.0</v>
      </c>
      <c r="G4" s="195">
        <v>3.0</v>
      </c>
      <c r="H4" s="195">
        <v>4.0</v>
      </c>
      <c r="I4" s="195">
        <v>4.0</v>
      </c>
      <c r="J4" s="195">
        <v>5.0</v>
      </c>
      <c r="K4" s="195">
        <v>3.0</v>
      </c>
      <c r="L4" s="195">
        <v>4.0</v>
      </c>
      <c r="N4" s="197"/>
      <c r="O4" s="198" t="s">
        <v>192</v>
      </c>
      <c r="X4" s="199"/>
    </row>
    <row r="5">
      <c r="B5" s="200" t="s">
        <v>193</v>
      </c>
      <c r="C5" s="201"/>
      <c r="D5" s="202">
        <v>5.0</v>
      </c>
      <c r="E5" s="202">
        <v>8.0</v>
      </c>
      <c r="F5" s="202">
        <v>1.0</v>
      </c>
      <c r="G5" s="202">
        <v>7.0</v>
      </c>
      <c r="H5" s="202">
        <v>2.0</v>
      </c>
      <c r="I5" s="202">
        <v>4.0</v>
      </c>
      <c r="J5" s="202">
        <v>3.0</v>
      </c>
      <c r="K5" s="202">
        <v>9.0</v>
      </c>
      <c r="L5" s="202">
        <v>6.0</v>
      </c>
      <c r="N5" s="197"/>
      <c r="O5" s="139"/>
      <c r="P5" s="140" t="s">
        <v>194</v>
      </c>
      <c r="Q5" s="139"/>
      <c r="R5" s="139"/>
      <c r="S5" s="139"/>
      <c r="T5" s="139"/>
      <c r="U5" s="139"/>
      <c r="V5" s="139"/>
      <c r="W5" s="139"/>
      <c r="X5" s="199"/>
    </row>
    <row r="6">
      <c r="B6" s="203" t="s">
        <v>195</v>
      </c>
      <c r="C6" s="204" t="s">
        <v>196</v>
      </c>
      <c r="D6" s="205">
        <v>503.0</v>
      </c>
      <c r="E6" s="205">
        <v>366.0</v>
      </c>
      <c r="F6" s="205">
        <v>425.0</v>
      </c>
      <c r="G6" s="205">
        <v>171.0</v>
      </c>
      <c r="H6" s="205">
        <v>355.0</v>
      </c>
      <c r="I6" s="205">
        <v>311.0</v>
      </c>
      <c r="J6" s="205">
        <v>554.0</v>
      </c>
      <c r="K6" s="205">
        <v>208.0</v>
      </c>
      <c r="L6" s="206">
        <v>428.0</v>
      </c>
      <c r="N6" s="197"/>
      <c r="O6" s="139"/>
      <c r="P6" s="207" t="s">
        <v>197</v>
      </c>
      <c r="Q6" s="7"/>
      <c r="R6" s="7"/>
      <c r="S6" s="7"/>
      <c r="T6" s="7"/>
      <c r="U6" s="139"/>
      <c r="V6" s="139"/>
      <c r="W6" s="139"/>
      <c r="X6" s="199"/>
    </row>
    <row r="7">
      <c r="B7" s="208"/>
      <c r="C7" s="40" t="s">
        <v>198</v>
      </c>
      <c r="D7" s="209">
        <v>485.0</v>
      </c>
      <c r="E7" s="209">
        <v>343.0</v>
      </c>
      <c r="F7" s="209">
        <v>408.0</v>
      </c>
      <c r="G7" s="209">
        <v>149.0</v>
      </c>
      <c r="H7" s="209">
        <v>346.0</v>
      </c>
      <c r="I7" s="209">
        <v>299.0</v>
      </c>
      <c r="J7" s="209">
        <v>536.0</v>
      </c>
      <c r="K7" s="209">
        <v>197.0</v>
      </c>
      <c r="L7" s="210">
        <v>415.0</v>
      </c>
      <c r="N7" s="197"/>
      <c r="O7" s="139"/>
      <c r="P7" s="140" t="s">
        <v>199</v>
      </c>
      <c r="Q7" s="139"/>
      <c r="R7" s="139"/>
      <c r="S7" s="139"/>
      <c r="T7" s="140" t="s">
        <v>200</v>
      </c>
      <c r="U7" s="139"/>
      <c r="V7" s="139"/>
      <c r="W7" s="139"/>
      <c r="X7" s="199"/>
    </row>
    <row r="8">
      <c r="B8" s="208"/>
      <c r="C8" s="40" t="s">
        <v>201</v>
      </c>
      <c r="D8" s="211">
        <v>462.0</v>
      </c>
      <c r="E8" s="211">
        <v>330.0</v>
      </c>
      <c r="F8" s="211">
        <v>397.0</v>
      </c>
      <c r="G8" s="211">
        <v>128.0</v>
      </c>
      <c r="H8" s="211">
        <v>336.0</v>
      </c>
      <c r="I8" s="211">
        <v>289.0</v>
      </c>
      <c r="J8" s="211">
        <v>525.0</v>
      </c>
      <c r="K8" s="211">
        <v>178.0</v>
      </c>
      <c r="L8" s="212">
        <v>398.0</v>
      </c>
      <c r="N8" s="128" t="s">
        <v>202</v>
      </c>
      <c r="O8" s="139"/>
      <c r="P8" s="128" t="s">
        <v>203</v>
      </c>
      <c r="Q8" s="139"/>
      <c r="R8" s="139"/>
      <c r="S8" s="139"/>
      <c r="T8" s="139"/>
      <c r="U8" s="139"/>
      <c r="V8" s="139"/>
      <c r="W8" s="139"/>
      <c r="X8" s="213"/>
      <c r="Y8" s="214"/>
      <c r="Z8" s="214"/>
    </row>
    <row r="9">
      <c r="B9" s="208"/>
      <c r="C9" s="40" t="s">
        <v>204</v>
      </c>
      <c r="D9" s="209">
        <v>444.0</v>
      </c>
      <c r="E9" s="209">
        <v>330.0</v>
      </c>
      <c r="F9" s="209">
        <v>376.0</v>
      </c>
      <c r="G9" s="209">
        <v>128.0</v>
      </c>
      <c r="H9" s="209">
        <v>316.0</v>
      </c>
      <c r="I9" s="209">
        <v>289.0</v>
      </c>
      <c r="J9" s="209">
        <v>525.0</v>
      </c>
      <c r="K9" s="209">
        <v>133.0</v>
      </c>
      <c r="L9" s="210">
        <v>372.0</v>
      </c>
      <c r="N9" s="197"/>
      <c r="O9" s="128" t="s">
        <v>205</v>
      </c>
      <c r="P9" s="215" t="s">
        <v>206</v>
      </c>
      <c r="Q9" s="214"/>
      <c r="R9" s="139"/>
      <c r="S9" s="139"/>
      <c r="T9" s="139"/>
      <c r="U9" s="139"/>
      <c r="V9" s="139"/>
      <c r="W9" s="139"/>
      <c r="X9" s="216"/>
      <c r="Y9" s="217"/>
      <c r="Z9" s="217"/>
    </row>
    <row r="10">
      <c r="B10" s="218"/>
      <c r="C10" s="219" t="s">
        <v>207</v>
      </c>
      <c r="D10" s="220">
        <v>384.0</v>
      </c>
      <c r="E10" s="220">
        <v>298.0</v>
      </c>
      <c r="F10" s="220">
        <v>359.0</v>
      </c>
      <c r="G10" s="220">
        <v>113.0</v>
      </c>
      <c r="H10" s="220">
        <v>250.0</v>
      </c>
      <c r="I10" s="220">
        <v>282.0</v>
      </c>
      <c r="J10" s="220">
        <v>414.0</v>
      </c>
      <c r="K10" s="220">
        <v>120.0</v>
      </c>
      <c r="L10" s="221">
        <v>297.0</v>
      </c>
      <c r="N10" s="197"/>
      <c r="O10" s="139"/>
      <c r="P10" s="139"/>
      <c r="Q10" s="139"/>
      <c r="R10" s="139"/>
      <c r="S10" s="139"/>
      <c r="T10" s="139"/>
      <c r="U10" s="139"/>
      <c r="V10" s="139"/>
      <c r="W10" s="139"/>
      <c r="X10" s="199"/>
    </row>
    <row r="11">
      <c r="B11" s="222" t="s">
        <v>208</v>
      </c>
      <c r="C11" s="223" t="s">
        <v>196</v>
      </c>
      <c r="D11" s="205">
        <v>499.0</v>
      </c>
      <c r="E11" s="205">
        <v>362.0</v>
      </c>
      <c r="F11" s="205">
        <v>426.0</v>
      </c>
      <c r="G11" s="205">
        <v>168.0</v>
      </c>
      <c r="H11" s="205">
        <v>332.0</v>
      </c>
      <c r="I11" s="205">
        <v>291.0</v>
      </c>
      <c r="J11" s="205">
        <v>553.0</v>
      </c>
      <c r="K11" s="205">
        <v>200.0</v>
      </c>
      <c r="L11" s="206">
        <v>417.0</v>
      </c>
      <c r="N11" s="197"/>
      <c r="O11" s="139"/>
      <c r="P11" s="128" t="s">
        <v>80</v>
      </c>
      <c r="Q11" s="128" t="s">
        <v>33</v>
      </c>
      <c r="R11" s="128" t="s">
        <v>81</v>
      </c>
      <c r="S11" s="128" t="s">
        <v>32</v>
      </c>
      <c r="T11" s="128" t="s">
        <v>82</v>
      </c>
      <c r="U11" s="139"/>
      <c r="V11" s="139"/>
      <c r="W11" s="139"/>
      <c r="X11" s="199"/>
    </row>
    <row r="12">
      <c r="B12" s="208"/>
      <c r="C12" s="211" t="s">
        <v>198</v>
      </c>
      <c r="D12" s="209">
        <v>481.0</v>
      </c>
      <c r="E12" s="209">
        <v>339.0</v>
      </c>
      <c r="F12" s="209">
        <v>409.0</v>
      </c>
      <c r="G12" s="209">
        <v>146.0</v>
      </c>
      <c r="H12" s="209">
        <v>323.0</v>
      </c>
      <c r="I12" s="209">
        <v>279.0</v>
      </c>
      <c r="J12" s="209">
        <v>535.0</v>
      </c>
      <c r="K12" s="209">
        <v>188.0</v>
      </c>
      <c r="L12" s="210">
        <v>404.0</v>
      </c>
      <c r="N12" s="197"/>
      <c r="O12" s="128" t="s">
        <v>83</v>
      </c>
      <c r="P12" s="140">
        <v>0.65</v>
      </c>
      <c r="Q12" s="140">
        <v>0.65</v>
      </c>
      <c r="R12" s="140">
        <v>0.45</v>
      </c>
      <c r="S12" s="140">
        <v>0.25</v>
      </c>
      <c r="T12" s="140">
        <v>0.75</v>
      </c>
      <c r="U12" s="139"/>
      <c r="V12" s="139"/>
      <c r="W12" s="139"/>
      <c r="X12" s="199"/>
    </row>
    <row r="13">
      <c r="B13" s="208"/>
      <c r="C13" s="211" t="s">
        <v>201</v>
      </c>
      <c r="D13" s="211">
        <v>458.0</v>
      </c>
      <c r="E13" s="211">
        <v>326.0</v>
      </c>
      <c r="F13" s="211">
        <v>398.0</v>
      </c>
      <c r="G13" s="211">
        <v>125.0</v>
      </c>
      <c r="H13" s="211">
        <v>313.0</v>
      </c>
      <c r="I13" s="211">
        <v>269.0</v>
      </c>
      <c r="J13" s="211">
        <v>524.0</v>
      </c>
      <c r="K13" s="211">
        <v>170.0</v>
      </c>
      <c r="L13" s="212">
        <v>387.0</v>
      </c>
      <c r="N13" s="197"/>
      <c r="O13" s="128" t="s">
        <v>13</v>
      </c>
      <c r="P13" s="140">
        <v>1.05</v>
      </c>
      <c r="Q13" s="140">
        <v>0.65</v>
      </c>
      <c r="R13" s="140">
        <v>0.45</v>
      </c>
      <c r="S13" s="140">
        <v>0.25</v>
      </c>
      <c r="T13" s="140">
        <v>0.75</v>
      </c>
      <c r="U13" s="139"/>
      <c r="V13" s="139"/>
      <c r="W13" s="139"/>
      <c r="X13" s="199"/>
    </row>
    <row r="14">
      <c r="B14" s="208"/>
      <c r="C14" s="211" t="s">
        <v>204</v>
      </c>
      <c r="D14" s="209">
        <v>440.0</v>
      </c>
      <c r="E14" s="209">
        <v>326.0</v>
      </c>
      <c r="F14" s="209">
        <v>377.0</v>
      </c>
      <c r="G14" s="209">
        <v>125.0</v>
      </c>
      <c r="H14" s="209">
        <v>296.0</v>
      </c>
      <c r="I14" s="209">
        <v>269.0</v>
      </c>
      <c r="J14" s="209">
        <v>524.0</v>
      </c>
      <c r="K14" s="209">
        <v>125.0</v>
      </c>
      <c r="L14" s="210">
        <v>361.0</v>
      </c>
      <c r="N14" s="197"/>
      <c r="O14" s="128" t="s">
        <v>14</v>
      </c>
      <c r="P14" s="140">
        <v>1.05</v>
      </c>
      <c r="Q14" s="140">
        <v>0.65</v>
      </c>
      <c r="R14" s="140">
        <v>0.45</v>
      </c>
      <c r="S14" s="140">
        <v>0.25</v>
      </c>
      <c r="T14" s="140">
        <v>0.75</v>
      </c>
      <c r="U14" s="139"/>
      <c r="V14" s="139"/>
      <c r="W14" s="139"/>
      <c r="X14" s="199"/>
    </row>
    <row r="15">
      <c r="B15" s="218"/>
      <c r="C15" s="224" t="s">
        <v>207</v>
      </c>
      <c r="D15" s="220">
        <v>380.0</v>
      </c>
      <c r="E15" s="220">
        <v>294.0</v>
      </c>
      <c r="F15" s="220">
        <v>360.0</v>
      </c>
      <c r="G15" s="220">
        <v>110.0</v>
      </c>
      <c r="H15" s="220">
        <v>227.0</v>
      </c>
      <c r="I15" s="220">
        <v>262.0</v>
      </c>
      <c r="J15" s="220">
        <v>413.0</v>
      </c>
      <c r="K15" s="220">
        <v>112.0</v>
      </c>
      <c r="L15" s="221">
        <v>286.0</v>
      </c>
      <c r="N15" s="197"/>
      <c r="O15" s="128" t="s">
        <v>15</v>
      </c>
      <c r="P15" s="140">
        <v>1.05</v>
      </c>
      <c r="Q15" s="140">
        <v>0.65</v>
      </c>
      <c r="R15" s="140">
        <v>0.45</v>
      </c>
      <c r="S15" s="140">
        <v>0.25</v>
      </c>
      <c r="T15" s="140">
        <v>0.75</v>
      </c>
      <c r="U15" s="139"/>
      <c r="V15" s="139"/>
      <c r="W15" s="139"/>
      <c r="X15" s="199"/>
    </row>
    <row r="16">
      <c r="A16" s="3" t="s">
        <v>209</v>
      </c>
      <c r="B16" s="3" t="s">
        <v>210</v>
      </c>
      <c r="D16" s="4">
        <f t="shared" ref="D16:L16" si="1">D4-2</f>
        <v>3</v>
      </c>
      <c r="E16" s="4">
        <f t="shared" si="1"/>
        <v>2</v>
      </c>
      <c r="F16" s="4">
        <f t="shared" si="1"/>
        <v>2</v>
      </c>
      <c r="G16" s="4">
        <f t="shared" si="1"/>
        <v>1</v>
      </c>
      <c r="H16" s="4">
        <f t="shared" si="1"/>
        <v>2</v>
      </c>
      <c r="I16" s="4">
        <f t="shared" si="1"/>
        <v>2</v>
      </c>
      <c r="J16" s="4">
        <f t="shared" si="1"/>
        <v>3</v>
      </c>
      <c r="K16" s="4">
        <f t="shared" si="1"/>
        <v>1</v>
      </c>
      <c r="L16" s="4">
        <f t="shared" si="1"/>
        <v>2</v>
      </c>
      <c r="N16" s="197"/>
      <c r="O16" s="128" t="s">
        <v>16</v>
      </c>
      <c r="P16" s="140">
        <v>1.05</v>
      </c>
      <c r="Q16" s="140">
        <v>0.65</v>
      </c>
      <c r="R16" s="140">
        <v>0.45</v>
      </c>
      <c r="S16" s="140">
        <v>0.25</v>
      </c>
      <c r="T16" s="140">
        <v>0.75</v>
      </c>
      <c r="U16" s="139"/>
      <c r="V16" s="139"/>
      <c r="W16" s="139"/>
      <c r="X16" s="199"/>
    </row>
    <row r="17">
      <c r="A17" s="3" t="s">
        <v>211</v>
      </c>
      <c r="B17" s="3" t="s">
        <v>212</v>
      </c>
      <c r="D17" s="4">
        <f t="shared" ref="D17:L17" si="2">D8/D16</f>
        <v>154</v>
      </c>
      <c r="E17" s="4">
        <f t="shared" si="2"/>
        <v>165</v>
      </c>
      <c r="F17" s="4">
        <f t="shared" si="2"/>
        <v>198.5</v>
      </c>
      <c r="G17" s="4">
        <f t="shared" si="2"/>
        <v>128</v>
      </c>
      <c r="H17" s="4">
        <f t="shared" si="2"/>
        <v>168</v>
      </c>
      <c r="I17" s="4">
        <f t="shared" si="2"/>
        <v>144.5</v>
      </c>
      <c r="J17" s="4">
        <f t="shared" si="2"/>
        <v>175</v>
      </c>
      <c r="K17" s="4">
        <f t="shared" si="2"/>
        <v>178</v>
      </c>
      <c r="L17" s="4">
        <f t="shared" si="2"/>
        <v>199</v>
      </c>
      <c r="N17" s="197"/>
      <c r="O17" s="128" t="s">
        <v>17</v>
      </c>
      <c r="P17" s="140">
        <v>1.05</v>
      </c>
      <c r="Q17" s="140">
        <v>0.65</v>
      </c>
      <c r="R17" s="140">
        <v>0.45</v>
      </c>
      <c r="S17" s="140">
        <v>0.25</v>
      </c>
      <c r="T17" s="140">
        <v>0.75</v>
      </c>
      <c r="U17" s="139"/>
      <c r="V17" s="139"/>
      <c r="W17" s="139"/>
      <c r="X17" s="199"/>
    </row>
    <row r="18">
      <c r="B18" s="3" t="s">
        <v>213</v>
      </c>
      <c r="D18" s="4">
        <f t="shared" ref="D18:L18" si="3">D8*0.45</f>
        <v>207.9</v>
      </c>
      <c r="E18" s="4">
        <f t="shared" si="3"/>
        <v>148.5</v>
      </c>
      <c r="F18" s="4">
        <f t="shared" si="3"/>
        <v>178.65</v>
      </c>
      <c r="G18" s="177">
        <f t="shared" si="3"/>
        <v>57.6</v>
      </c>
      <c r="H18" s="4">
        <f t="shared" si="3"/>
        <v>151.2</v>
      </c>
      <c r="I18" s="4">
        <f t="shared" si="3"/>
        <v>130.05</v>
      </c>
      <c r="J18" s="4">
        <f t="shared" si="3"/>
        <v>236.25</v>
      </c>
      <c r="K18" s="177">
        <f t="shared" si="3"/>
        <v>80.1</v>
      </c>
      <c r="L18" s="4">
        <f t="shared" si="3"/>
        <v>179.1</v>
      </c>
      <c r="N18" s="197"/>
      <c r="O18" s="128" t="s">
        <v>18</v>
      </c>
      <c r="P18" s="140">
        <v>1.05</v>
      </c>
      <c r="Q18" s="140">
        <v>0.75</v>
      </c>
      <c r="R18" s="140">
        <v>0.55</v>
      </c>
      <c r="S18" s="140">
        <v>0.35</v>
      </c>
      <c r="T18" s="140">
        <v>0.75</v>
      </c>
      <c r="U18" s="139"/>
      <c r="V18" s="139"/>
      <c r="W18" s="139"/>
      <c r="X18" s="199"/>
    </row>
    <row r="19">
      <c r="B19" s="3" t="s">
        <v>214</v>
      </c>
      <c r="D19" s="4">
        <f t="shared" ref="D19:L19" si="4">D8-D18</f>
        <v>254.1</v>
      </c>
      <c r="E19" s="4">
        <f t="shared" si="4"/>
        <v>181.5</v>
      </c>
      <c r="F19" s="4">
        <f t="shared" si="4"/>
        <v>218.35</v>
      </c>
      <c r="G19" s="177">
        <f t="shared" si="4"/>
        <v>70.4</v>
      </c>
      <c r="H19" s="4">
        <f t="shared" si="4"/>
        <v>184.8</v>
      </c>
      <c r="I19" s="4">
        <f t="shared" si="4"/>
        <v>158.95</v>
      </c>
      <c r="J19" s="4">
        <f t="shared" si="4"/>
        <v>288.75</v>
      </c>
      <c r="K19" s="177">
        <f t="shared" si="4"/>
        <v>97.9</v>
      </c>
      <c r="L19" s="4">
        <f t="shared" si="4"/>
        <v>218.9</v>
      </c>
      <c r="N19" s="197"/>
      <c r="O19" s="128" t="s">
        <v>19</v>
      </c>
      <c r="P19" s="140">
        <v>1.05</v>
      </c>
      <c r="Q19" s="140">
        <v>0.75</v>
      </c>
      <c r="R19" s="140">
        <v>0.55</v>
      </c>
      <c r="S19" s="140">
        <v>0.35</v>
      </c>
      <c r="T19" s="140">
        <v>0.75</v>
      </c>
      <c r="U19" s="139"/>
      <c r="V19" s="139"/>
      <c r="W19" s="139"/>
      <c r="X19" s="199"/>
    </row>
    <row r="20">
      <c r="B20" s="3" t="s">
        <v>215</v>
      </c>
      <c r="D20" s="4">
        <f t="shared" ref="D20:F20" si="5">D19/(D16-1)</f>
        <v>127.05</v>
      </c>
      <c r="E20" s="4">
        <f t="shared" si="5"/>
        <v>181.5</v>
      </c>
      <c r="F20" s="4">
        <f t="shared" si="5"/>
        <v>218.35</v>
      </c>
      <c r="G20" s="177">
        <f>G19/(G16)</f>
        <v>70.4</v>
      </c>
      <c r="H20" s="4">
        <f t="shared" ref="H20:J20" si="6">H19/(H16-1)</f>
        <v>184.8</v>
      </c>
      <c r="I20" s="4">
        <f t="shared" si="6"/>
        <v>158.95</v>
      </c>
      <c r="J20" s="4">
        <f t="shared" si="6"/>
        <v>144.375</v>
      </c>
      <c r="K20" s="177">
        <f>K19/(K16)</f>
        <v>97.9</v>
      </c>
      <c r="L20" s="4">
        <f>L19/(L16-1)</f>
        <v>218.9</v>
      </c>
      <c r="N20" s="197"/>
      <c r="O20" s="128" t="s">
        <v>20</v>
      </c>
      <c r="P20" s="140">
        <v>1.05</v>
      </c>
      <c r="Q20" s="140">
        <v>0.75</v>
      </c>
      <c r="R20" s="140">
        <v>0.55</v>
      </c>
      <c r="S20" s="140">
        <v>0.35</v>
      </c>
      <c r="T20" s="140">
        <v>0.75</v>
      </c>
      <c r="U20" s="139"/>
      <c r="V20" s="139"/>
      <c r="W20" s="139"/>
      <c r="X20" s="199"/>
    </row>
    <row r="21">
      <c r="N21" s="197"/>
      <c r="O21" s="128" t="s">
        <v>21</v>
      </c>
      <c r="P21" s="140">
        <v>1.05</v>
      </c>
      <c r="Q21" s="140">
        <v>0.75</v>
      </c>
      <c r="R21" s="140">
        <v>0.55</v>
      </c>
      <c r="S21" s="140">
        <v>0.35</v>
      </c>
      <c r="T21" s="140">
        <v>0.95</v>
      </c>
      <c r="U21" s="139"/>
      <c r="V21" s="139"/>
      <c r="W21" s="139"/>
      <c r="X21" s="199"/>
    </row>
    <row r="22">
      <c r="A22" s="2" t="s">
        <v>216</v>
      </c>
      <c r="C22" s="3" t="s">
        <v>217</v>
      </c>
      <c r="D22" s="3" t="s">
        <v>218</v>
      </c>
      <c r="E22" s="3" t="s">
        <v>219</v>
      </c>
      <c r="N22" s="197"/>
      <c r="O22" s="128" t="s">
        <v>22</v>
      </c>
      <c r="P22" s="140">
        <v>1.05</v>
      </c>
      <c r="Q22" s="140">
        <v>0.75</v>
      </c>
      <c r="R22" s="140">
        <v>0.55</v>
      </c>
      <c r="S22" s="140">
        <v>0.35</v>
      </c>
      <c r="T22" s="140">
        <v>0.95</v>
      </c>
      <c r="U22" s="139"/>
      <c r="V22" s="139"/>
      <c r="W22" s="139"/>
      <c r="X22" s="199"/>
    </row>
    <row r="23">
      <c r="B23" s="225">
        <v>100.0</v>
      </c>
      <c r="C23" s="5">
        <v>158.0</v>
      </c>
      <c r="D23" s="5">
        <v>143.0</v>
      </c>
      <c r="E23" s="6">
        <f t="shared" ref="E23:E35" si="7">$C23+($D23*($D$16-1))</f>
        <v>444</v>
      </c>
      <c r="N23" s="197"/>
      <c r="O23" s="128" t="s">
        <v>23</v>
      </c>
      <c r="P23" s="140">
        <v>1.05</v>
      </c>
      <c r="Q23" s="140">
        <v>0.85</v>
      </c>
      <c r="R23" s="140">
        <v>0.65</v>
      </c>
      <c r="S23" s="140">
        <v>0.55</v>
      </c>
      <c r="T23" s="140">
        <v>0.95</v>
      </c>
      <c r="U23" s="139"/>
      <c r="V23" s="139"/>
      <c r="W23" s="139"/>
      <c r="X23" s="199"/>
    </row>
    <row r="24">
      <c r="B24" s="3">
        <v>90.0</v>
      </c>
      <c r="C24" s="4">
        <f t="shared" ref="C24:C35" si="8">$C$23*($B24/100)</f>
        <v>142.2</v>
      </c>
      <c r="D24" s="4">
        <f t="shared" ref="D24:D35" si="9">$D$23*($B24/100)</f>
        <v>128.7</v>
      </c>
      <c r="E24" s="4">
        <f t="shared" si="7"/>
        <v>399.6</v>
      </c>
      <c r="N24" s="197"/>
      <c r="O24" s="128" t="s">
        <v>24</v>
      </c>
      <c r="P24" s="140">
        <v>1.05</v>
      </c>
      <c r="Q24" s="140">
        <v>0.85</v>
      </c>
      <c r="R24" s="140">
        <v>0.65</v>
      </c>
      <c r="S24" s="140">
        <v>0.55</v>
      </c>
      <c r="T24" s="140">
        <v>0.95</v>
      </c>
      <c r="U24" s="139"/>
      <c r="V24" s="139"/>
      <c r="W24" s="139"/>
      <c r="X24" s="199"/>
    </row>
    <row r="25">
      <c r="B25" s="3">
        <v>80.0</v>
      </c>
      <c r="C25" s="4">
        <f t="shared" si="8"/>
        <v>126.4</v>
      </c>
      <c r="D25" s="4">
        <f t="shared" si="9"/>
        <v>114.4</v>
      </c>
      <c r="E25" s="4">
        <f t="shared" si="7"/>
        <v>355.2</v>
      </c>
      <c r="N25" s="197"/>
      <c r="O25" s="128" t="s">
        <v>26</v>
      </c>
      <c r="P25" s="140">
        <v>1.05</v>
      </c>
      <c r="Q25" s="140">
        <v>0.85</v>
      </c>
      <c r="R25" s="140">
        <v>0.65</v>
      </c>
      <c r="S25" s="140">
        <v>0.65</v>
      </c>
      <c r="T25" s="140">
        <v>0.95</v>
      </c>
      <c r="U25" s="139"/>
      <c r="V25" s="139"/>
      <c r="W25" s="139"/>
      <c r="X25" s="199"/>
    </row>
    <row r="26">
      <c r="B26" s="3">
        <v>70.0</v>
      </c>
      <c r="C26" s="4">
        <f t="shared" si="8"/>
        <v>110.6</v>
      </c>
      <c r="D26" s="4">
        <f t="shared" si="9"/>
        <v>100.1</v>
      </c>
      <c r="E26" s="4">
        <f t="shared" si="7"/>
        <v>310.8</v>
      </c>
      <c r="N26" s="197"/>
      <c r="O26" s="128" t="s">
        <v>67</v>
      </c>
      <c r="P26" s="140" t="s">
        <v>68</v>
      </c>
      <c r="Q26" s="140" t="s">
        <v>68</v>
      </c>
      <c r="R26" s="140" t="s">
        <v>68</v>
      </c>
      <c r="S26" s="140" t="s">
        <v>68</v>
      </c>
      <c r="T26" s="140" t="s">
        <v>68</v>
      </c>
      <c r="U26" s="139"/>
      <c r="V26" s="139"/>
      <c r="W26" s="139"/>
      <c r="X26" s="199"/>
    </row>
    <row r="27">
      <c r="B27" s="3">
        <v>60.0</v>
      </c>
      <c r="C27" s="4">
        <f t="shared" si="8"/>
        <v>94.8</v>
      </c>
      <c r="D27" s="4">
        <f t="shared" si="9"/>
        <v>85.8</v>
      </c>
      <c r="E27" s="4">
        <f t="shared" si="7"/>
        <v>266.4</v>
      </c>
      <c r="N27" s="197"/>
      <c r="O27" s="139"/>
      <c r="P27" s="139"/>
      <c r="Q27" s="139"/>
      <c r="R27" s="139"/>
      <c r="S27" s="139"/>
      <c r="T27" s="139"/>
      <c r="U27" s="139"/>
      <c r="V27" s="139"/>
      <c r="W27" s="139"/>
      <c r="X27" s="199"/>
    </row>
    <row r="28">
      <c r="B28" s="3">
        <v>50.0</v>
      </c>
      <c r="C28" s="4">
        <f t="shared" si="8"/>
        <v>79</v>
      </c>
      <c r="D28" s="4">
        <f t="shared" si="9"/>
        <v>71.5</v>
      </c>
      <c r="E28" s="4">
        <f t="shared" si="7"/>
        <v>222</v>
      </c>
      <c r="N28" s="197"/>
      <c r="X28" s="199"/>
    </row>
    <row r="29">
      <c r="B29" s="3">
        <v>40.0</v>
      </c>
      <c r="C29" s="4">
        <f t="shared" si="8"/>
        <v>63.2</v>
      </c>
      <c r="D29" s="4">
        <f t="shared" si="9"/>
        <v>57.2</v>
      </c>
      <c r="E29" s="4">
        <f t="shared" si="7"/>
        <v>177.6</v>
      </c>
      <c r="N29" s="197"/>
      <c r="X29" s="199"/>
    </row>
    <row r="30">
      <c r="B30" s="3">
        <v>30.0</v>
      </c>
      <c r="C30" s="4">
        <f t="shared" si="8"/>
        <v>47.4</v>
      </c>
      <c r="D30" s="4">
        <f t="shared" si="9"/>
        <v>42.9</v>
      </c>
      <c r="E30" s="4">
        <f t="shared" si="7"/>
        <v>133.2</v>
      </c>
      <c r="N30" s="197"/>
      <c r="X30" s="199"/>
    </row>
    <row r="31">
      <c r="B31" s="3">
        <v>20.0</v>
      </c>
      <c r="C31" s="4">
        <f t="shared" si="8"/>
        <v>31.6</v>
      </c>
      <c r="D31" s="4">
        <f t="shared" si="9"/>
        <v>28.6</v>
      </c>
      <c r="E31" s="4">
        <f t="shared" si="7"/>
        <v>88.8</v>
      </c>
      <c r="N31" s="197"/>
      <c r="X31" s="199"/>
    </row>
    <row r="32">
      <c r="B32" s="3">
        <v>10.0</v>
      </c>
      <c r="C32" s="4">
        <f t="shared" si="8"/>
        <v>15.8</v>
      </c>
      <c r="D32" s="4">
        <f t="shared" si="9"/>
        <v>14.3</v>
      </c>
      <c r="E32" s="4">
        <f t="shared" si="7"/>
        <v>44.4</v>
      </c>
      <c r="N32" s="197"/>
      <c r="X32" s="199"/>
    </row>
    <row r="33">
      <c r="A33" s="2" t="s">
        <v>220</v>
      </c>
      <c r="B33" s="225">
        <v>30.0</v>
      </c>
      <c r="C33" s="6">
        <f t="shared" si="8"/>
        <v>47.4</v>
      </c>
      <c r="D33" s="6">
        <f t="shared" si="9"/>
        <v>42.9</v>
      </c>
      <c r="E33" s="6">
        <f t="shared" si="7"/>
        <v>133.2</v>
      </c>
      <c r="N33" s="197"/>
      <c r="X33" s="199"/>
    </row>
    <row r="34">
      <c r="B34" s="225">
        <v>55.0</v>
      </c>
      <c r="C34" s="6">
        <f t="shared" si="8"/>
        <v>86.9</v>
      </c>
      <c r="D34" s="6">
        <f t="shared" si="9"/>
        <v>78.65</v>
      </c>
      <c r="E34" s="6">
        <f t="shared" si="7"/>
        <v>244.2</v>
      </c>
      <c r="N34" s="197"/>
      <c r="X34" s="199"/>
    </row>
    <row r="35">
      <c r="B35" s="225">
        <v>75.0</v>
      </c>
      <c r="C35" s="6">
        <f t="shared" si="8"/>
        <v>118.5</v>
      </c>
      <c r="D35" s="6">
        <f t="shared" si="9"/>
        <v>107.25</v>
      </c>
      <c r="E35" s="6">
        <f t="shared" si="7"/>
        <v>333</v>
      </c>
      <c r="N35" s="197"/>
      <c r="X35" s="199"/>
    </row>
    <row r="36">
      <c r="B36" s="3"/>
      <c r="N36" s="197"/>
      <c r="O36" s="226" t="s">
        <v>221</v>
      </c>
      <c r="X36" s="199"/>
    </row>
    <row r="37">
      <c r="C37" s="3" t="s">
        <v>222</v>
      </c>
      <c r="D37" s="3">
        <v>30.0</v>
      </c>
      <c r="N37" s="197"/>
      <c r="X37" s="199"/>
    </row>
    <row r="38">
      <c r="C38" s="3" t="s">
        <v>223</v>
      </c>
      <c r="D38" s="3" t="s">
        <v>224</v>
      </c>
      <c r="N38" s="197"/>
      <c r="X38" s="199"/>
    </row>
    <row r="39">
      <c r="C39" s="3" t="s">
        <v>225</v>
      </c>
      <c r="D39" s="3">
        <v>100.0</v>
      </c>
      <c r="N39" s="197"/>
      <c r="X39" s="199"/>
    </row>
    <row r="40">
      <c r="N40" s="197"/>
      <c r="X40" s="199"/>
    </row>
    <row r="41">
      <c r="N41" s="197"/>
      <c r="X41" s="199"/>
    </row>
    <row r="42">
      <c r="C42" s="3" t="s">
        <v>226</v>
      </c>
      <c r="D42" s="3" t="s">
        <v>227</v>
      </c>
      <c r="N42" s="197"/>
      <c r="X42" s="199"/>
    </row>
    <row r="43">
      <c r="N43" s="227"/>
      <c r="O43" s="228"/>
      <c r="P43" s="228"/>
      <c r="Q43" s="228"/>
      <c r="R43" s="228"/>
      <c r="S43" s="228"/>
      <c r="T43" s="228"/>
      <c r="U43" s="228"/>
      <c r="V43" s="228"/>
      <c r="W43" s="228"/>
      <c r="X43" s="229"/>
    </row>
    <row r="44">
      <c r="B44" s="225">
        <v>100.0</v>
      </c>
      <c r="C44" s="5">
        <v>150.0</v>
      </c>
      <c r="D44" s="5">
        <v>105.0</v>
      </c>
      <c r="E44" s="6">
        <f t="shared" ref="E44:E56" si="10">$C44+($D44*($D$16-1))</f>
        <v>360</v>
      </c>
    </row>
    <row r="45">
      <c r="B45" s="3">
        <v>90.0</v>
      </c>
      <c r="C45" s="4">
        <f t="shared" ref="C45:C56" si="11">$C$44*($B45/100)</f>
        <v>135</v>
      </c>
      <c r="D45" s="4">
        <f t="shared" ref="D45:D56" si="12">$D$44*($B45/100)</f>
        <v>94.5</v>
      </c>
      <c r="E45" s="4">
        <f t="shared" si="10"/>
        <v>324</v>
      </c>
    </row>
    <row r="46">
      <c r="B46" s="3">
        <v>80.0</v>
      </c>
      <c r="C46" s="4">
        <f t="shared" si="11"/>
        <v>120</v>
      </c>
      <c r="D46" s="4">
        <f t="shared" si="12"/>
        <v>84</v>
      </c>
      <c r="E46" s="4">
        <f t="shared" si="10"/>
        <v>288</v>
      </c>
    </row>
    <row r="47">
      <c r="B47" s="3">
        <v>70.0</v>
      </c>
      <c r="C47" s="4">
        <f t="shared" si="11"/>
        <v>105</v>
      </c>
      <c r="D47" s="4">
        <f t="shared" si="12"/>
        <v>73.5</v>
      </c>
      <c r="E47" s="4">
        <f t="shared" si="10"/>
        <v>252</v>
      </c>
    </row>
    <row r="48">
      <c r="B48" s="3">
        <v>60.0</v>
      </c>
      <c r="C48" s="4">
        <f t="shared" si="11"/>
        <v>90</v>
      </c>
      <c r="D48" s="4">
        <f t="shared" si="12"/>
        <v>63</v>
      </c>
      <c r="E48" s="4">
        <f t="shared" si="10"/>
        <v>216</v>
      </c>
    </row>
    <row r="49">
      <c r="B49" s="3">
        <v>50.0</v>
      </c>
      <c r="C49" s="4">
        <f t="shared" si="11"/>
        <v>75</v>
      </c>
      <c r="D49" s="4">
        <f t="shared" si="12"/>
        <v>52.5</v>
      </c>
      <c r="E49" s="4">
        <f t="shared" si="10"/>
        <v>180</v>
      </c>
    </row>
    <row r="50">
      <c r="B50" s="3">
        <v>40.0</v>
      </c>
      <c r="C50" s="4">
        <f t="shared" si="11"/>
        <v>60</v>
      </c>
      <c r="D50" s="4">
        <f t="shared" si="12"/>
        <v>42</v>
      </c>
      <c r="E50" s="4">
        <f t="shared" si="10"/>
        <v>144</v>
      </c>
    </row>
    <row r="51">
      <c r="B51" s="3">
        <v>30.0</v>
      </c>
      <c r="C51" s="4">
        <f t="shared" si="11"/>
        <v>45</v>
      </c>
      <c r="D51" s="4">
        <f t="shared" si="12"/>
        <v>31.5</v>
      </c>
      <c r="E51" s="4">
        <f t="shared" si="10"/>
        <v>108</v>
      </c>
    </row>
    <row r="52">
      <c r="B52" s="3">
        <v>20.0</v>
      </c>
      <c r="C52" s="4">
        <f t="shared" si="11"/>
        <v>30</v>
      </c>
      <c r="D52" s="4">
        <f t="shared" si="12"/>
        <v>21</v>
      </c>
      <c r="E52" s="4">
        <f t="shared" si="10"/>
        <v>72</v>
      </c>
    </row>
    <row r="53">
      <c r="B53" s="3">
        <v>10.0</v>
      </c>
      <c r="C53" s="4">
        <f t="shared" si="11"/>
        <v>15</v>
      </c>
      <c r="D53" s="4">
        <f t="shared" si="12"/>
        <v>10.5</v>
      </c>
      <c r="E53" s="4">
        <f t="shared" si="10"/>
        <v>36</v>
      </c>
    </row>
    <row r="54">
      <c r="B54" s="225">
        <v>30.0</v>
      </c>
      <c r="C54" s="6">
        <f t="shared" si="11"/>
        <v>45</v>
      </c>
      <c r="D54" s="6">
        <f t="shared" si="12"/>
        <v>31.5</v>
      </c>
      <c r="E54" s="6">
        <f t="shared" si="10"/>
        <v>108</v>
      </c>
    </row>
    <row r="55">
      <c r="B55" s="225">
        <v>55.0</v>
      </c>
      <c r="C55" s="6">
        <f t="shared" si="11"/>
        <v>82.5</v>
      </c>
      <c r="D55" s="6">
        <f t="shared" si="12"/>
        <v>57.75</v>
      </c>
      <c r="E55" s="6">
        <f t="shared" si="10"/>
        <v>198</v>
      </c>
      <c r="M55" s="3" t="s">
        <v>228</v>
      </c>
    </row>
    <row r="56">
      <c r="B56" s="225">
        <v>75.0</v>
      </c>
      <c r="C56" s="6">
        <f t="shared" si="11"/>
        <v>112.5</v>
      </c>
      <c r="D56" s="6">
        <f t="shared" si="12"/>
        <v>78.75</v>
      </c>
      <c r="E56" s="6">
        <f t="shared" si="10"/>
        <v>270</v>
      </c>
      <c r="M56" s="3" t="s">
        <v>229</v>
      </c>
    </row>
    <row r="57">
      <c r="M57" s="3" t="s">
        <v>230</v>
      </c>
    </row>
    <row r="58">
      <c r="M58" s="3" t="s">
        <v>231</v>
      </c>
    </row>
    <row r="59">
      <c r="J59" s="3" t="s">
        <v>6</v>
      </c>
    </row>
    <row r="60">
      <c r="J60" s="3" t="s">
        <v>232</v>
      </c>
      <c r="K60" s="3" t="s">
        <v>233</v>
      </c>
    </row>
    <row r="61">
      <c r="C61" s="3" t="s">
        <v>6</v>
      </c>
      <c r="D61" s="230" t="s">
        <v>7</v>
      </c>
      <c r="E61" s="230" t="s">
        <v>8</v>
      </c>
      <c r="F61" s="230" t="s">
        <v>9</v>
      </c>
      <c r="H61" s="3" t="s">
        <v>234</v>
      </c>
      <c r="L61" s="3" t="s">
        <v>235</v>
      </c>
      <c r="M61" s="231" t="s">
        <v>80</v>
      </c>
      <c r="N61" s="231" t="s">
        <v>97</v>
      </c>
      <c r="O61" s="231" t="s">
        <v>81</v>
      </c>
      <c r="P61" s="231" t="s">
        <v>32</v>
      </c>
      <c r="Q61" s="231" t="s">
        <v>82</v>
      </c>
      <c r="R61" s="3" t="s">
        <v>80</v>
      </c>
      <c r="S61" s="3" t="s">
        <v>97</v>
      </c>
      <c r="T61" s="3" t="s">
        <v>81</v>
      </c>
      <c r="U61" s="3" t="s">
        <v>32</v>
      </c>
      <c r="V61" s="3" t="s">
        <v>82</v>
      </c>
    </row>
    <row r="62">
      <c r="B62" s="3" t="s">
        <v>83</v>
      </c>
      <c r="C62" s="3">
        <v>125.0</v>
      </c>
      <c r="D62" s="230">
        <v>135.0</v>
      </c>
      <c r="E62" s="232">
        <f t="shared" ref="E62:F62" si="13">D62+10</f>
        <v>145</v>
      </c>
      <c r="F62" s="232">
        <f t="shared" si="13"/>
        <v>155</v>
      </c>
      <c r="H62" s="5">
        <v>1.0</v>
      </c>
      <c r="J62" s="3">
        <v>30.0</v>
      </c>
      <c r="K62" s="3">
        <v>30.0</v>
      </c>
      <c r="L62" s="4">
        <f>J62+K62+(H62+C62)/2+(H62+40)/2+$B$93</f>
        <v>145.5</v>
      </c>
      <c r="M62" s="231">
        <v>1.0</v>
      </c>
      <c r="N62" s="231">
        <v>0.65</v>
      </c>
      <c r="O62" s="231">
        <v>0.45</v>
      </c>
      <c r="P62" s="231">
        <v>0.25</v>
      </c>
      <c r="Q62" s="231">
        <v>0.75</v>
      </c>
      <c r="R62" s="4">
        <f t="shared" ref="R62:V62" si="14">$L62*M62</f>
        <v>145.5</v>
      </c>
      <c r="S62" s="4">
        <f t="shared" si="14"/>
        <v>94.575</v>
      </c>
      <c r="T62" s="4">
        <f t="shared" si="14"/>
        <v>65.475</v>
      </c>
      <c r="U62" s="4">
        <f t="shared" si="14"/>
        <v>36.375</v>
      </c>
      <c r="V62" s="4">
        <f t="shared" si="14"/>
        <v>109.125</v>
      </c>
    </row>
    <row r="63">
      <c r="B63" s="3" t="s">
        <v>13</v>
      </c>
      <c r="C63" s="4">
        <f t="shared" ref="C63:C65" si="17">C62-10</f>
        <v>115</v>
      </c>
      <c r="D63" s="232">
        <f t="shared" ref="D63:D75" si="18">C63+30</f>
        <v>145</v>
      </c>
      <c r="E63" s="232">
        <f t="shared" ref="E63:F63" si="15">D63+20</f>
        <v>165</v>
      </c>
      <c r="F63" s="232">
        <f t="shared" si="15"/>
        <v>185</v>
      </c>
      <c r="H63" s="5">
        <v>1.0</v>
      </c>
      <c r="J63" s="3">
        <v>5.0</v>
      </c>
      <c r="K63" s="3">
        <v>10.0</v>
      </c>
      <c r="L63" s="4">
        <f t="shared" ref="L63:L76" si="20">J63+H63+K63+H63+C63/2+40/2+$B$93</f>
        <v>96.5</v>
      </c>
      <c r="M63" s="231">
        <v>1.05</v>
      </c>
      <c r="N63" s="231">
        <v>0.65</v>
      </c>
      <c r="O63" s="231">
        <v>0.45</v>
      </c>
      <c r="P63" s="231">
        <v>0.25</v>
      </c>
      <c r="Q63" s="231">
        <v>0.75</v>
      </c>
      <c r="R63" s="4">
        <f t="shared" ref="R63:V63" si="16">$L63*M63</f>
        <v>101.325</v>
      </c>
      <c r="S63" s="4">
        <f t="shared" si="16"/>
        <v>62.725</v>
      </c>
      <c r="T63" s="4">
        <f t="shared" si="16"/>
        <v>43.425</v>
      </c>
      <c r="U63" s="4">
        <f t="shared" si="16"/>
        <v>24.125</v>
      </c>
      <c r="V63" s="4">
        <f t="shared" si="16"/>
        <v>72.375</v>
      </c>
    </row>
    <row r="64">
      <c r="B64" s="3" t="s">
        <v>14</v>
      </c>
      <c r="C64" s="4">
        <f t="shared" si="17"/>
        <v>105</v>
      </c>
      <c r="D64" s="232">
        <f t="shared" si="18"/>
        <v>135</v>
      </c>
      <c r="E64" s="232">
        <f t="shared" ref="E64:F64" si="19">D64+20</f>
        <v>155</v>
      </c>
      <c r="F64" s="232">
        <f t="shared" si="19"/>
        <v>175</v>
      </c>
      <c r="H64" s="5">
        <v>25.0</v>
      </c>
      <c r="J64" s="3">
        <v>5.0</v>
      </c>
      <c r="K64" s="3">
        <v>10.0</v>
      </c>
      <c r="L64" s="4">
        <f t="shared" si="20"/>
        <v>139.5</v>
      </c>
      <c r="M64" s="231">
        <v>1.05</v>
      </c>
      <c r="N64" s="231">
        <v>0.65</v>
      </c>
      <c r="O64" s="231">
        <v>0.45</v>
      </c>
      <c r="P64" s="231">
        <v>0.25</v>
      </c>
      <c r="Q64" s="231">
        <v>0.75</v>
      </c>
      <c r="R64" s="4">
        <f t="shared" ref="R64:V64" si="21">$L64*M64</f>
        <v>146.475</v>
      </c>
      <c r="S64" s="4">
        <f t="shared" si="21"/>
        <v>90.675</v>
      </c>
      <c r="T64" s="4">
        <f t="shared" si="21"/>
        <v>62.775</v>
      </c>
      <c r="U64" s="4">
        <f t="shared" si="21"/>
        <v>34.875</v>
      </c>
      <c r="V64" s="4">
        <f t="shared" si="21"/>
        <v>104.625</v>
      </c>
    </row>
    <row r="65">
      <c r="B65" s="3" t="s">
        <v>15</v>
      </c>
      <c r="C65" s="4">
        <f t="shared" si="17"/>
        <v>95</v>
      </c>
      <c r="D65" s="232">
        <f t="shared" si="18"/>
        <v>125</v>
      </c>
      <c r="E65" s="232">
        <f t="shared" ref="E65:F65" si="22">D65+20</f>
        <v>145</v>
      </c>
      <c r="F65" s="232">
        <f t="shared" si="22"/>
        <v>165</v>
      </c>
      <c r="H65" s="5">
        <v>25.0</v>
      </c>
      <c r="J65" s="3">
        <v>5.0</v>
      </c>
      <c r="K65" s="3">
        <v>10.0</v>
      </c>
      <c r="L65" s="4">
        <f t="shared" si="20"/>
        <v>134.5</v>
      </c>
      <c r="M65" s="231">
        <v>1.05</v>
      </c>
      <c r="N65" s="231">
        <v>0.65</v>
      </c>
      <c r="O65" s="231">
        <v>0.45</v>
      </c>
      <c r="P65" s="231">
        <v>0.25</v>
      </c>
      <c r="Q65" s="231">
        <v>0.75</v>
      </c>
      <c r="R65" s="4">
        <f t="shared" ref="R65:V65" si="23">$L65*M65</f>
        <v>141.225</v>
      </c>
      <c r="S65" s="4">
        <f t="shared" si="23"/>
        <v>87.425</v>
      </c>
      <c r="T65" s="4">
        <f t="shared" si="23"/>
        <v>60.525</v>
      </c>
      <c r="U65" s="4">
        <f t="shared" si="23"/>
        <v>33.625</v>
      </c>
      <c r="V65" s="4">
        <f t="shared" si="23"/>
        <v>100.875</v>
      </c>
    </row>
    <row r="66">
      <c r="B66" s="3" t="s">
        <v>16</v>
      </c>
      <c r="C66" s="4">
        <f>C65</f>
        <v>95</v>
      </c>
      <c r="D66" s="232">
        <f t="shared" si="18"/>
        <v>125</v>
      </c>
      <c r="E66" s="232">
        <f t="shared" ref="E66:F66" si="24">D66+20</f>
        <v>145</v>
      </c>
      <c r="F66" s="232">
        <f t="shared" si="24"/>
        <v>165</v>
      </c>
      <c r="H66" s="5">
        <v>25.0</v>
      </c>
      <c r="J66" s="3">
        <v>5.0</v>
      </c>
      <c r="K66" s="3">
        <v>10.0</v>
      </c>
      <c r="L66" s="4">
        <f t="shared" si="20"/>
        <v>134.5</v>
      </c>
      <c r="M66" s="231">
        <v>1.05</v>
      </c>
      <c r="N66" s="231">
        <v>0.65</v>
      </c>
      <c r="O66" s="231">
        <v>0.45</v>
      </c>
      <c r="P66" s="231">
        <v>0.25</v>
      </c>
      <c r="Q66" s="231">
        <v>0.75</v>
      </c>
      <c r="R66" s="4">
        <f t="shared" ref="R66:V66" si="25">$L66*M66</f>
        <v>141.225</v>
      </c>
      <c r="S66" s="4">
        <f t="shared" si="25"/>
        <v>87.425</v>
      </c>
      <c r="T66" s="4">
        <f t="shared" si="25"/>
        <v>60.525</v>
      </c>
      <c r="U66" s="4">
        <f t="shared" si="25"/>
        <v>33.625</v>
      </c>
      <c r="V66" s="4">
        <f t="shared" si="25"/>
        <v>100.875</v>
      </c>
    </row>
    <row r="67">
      <c r="B67" s="3" t="s">
        <v>17</v>
      </c>
      <c r="C67" s="4">
        <f t="shared" ref="C67:C75" si="28">C66-10</f>
        <v>85</v>
      </c>
      <c r="D67" s="232">
        <f t="shared" si="18"/>
        <v>115</v>
      </c>
      <c r="E67" s="232">
        <f t="shared" ref="E67:F67" si="26">D67+20</f>
        <v>135</v>
      </c>
      <c r="F67" s="232">
        <f t="shared" si="26"/>
        <v>155</v>
      </c>
      <c r="H67" s="5">
        <v>25.0</v>
      </c>
      <c r="J67" s="3">
        <v>5.0</v>
      </c>
      <c r="K67" s="3">
        <v>10.0</v>
      </c>
      <c r="L67" s="4">
        <f t="shared" si="20"/>
        <v>129.5</v>
      </c>
      <c r="M67" s="231">
        <v>1.05</v>
      </c>
      <c r="N67" s="231">
        <v>0.65</v>
      </c>
      <c r="O67" s="231">
        <v>0.45</v>
      </c>
      <c r="P67" s="231">
        <v>0.25</v>
      </c>
      <c r="Q67" s="231">
        <v>0.75</v>
      </c>
      <c r="R67" s="4">
        <f t="shared" ref="R67:V67" si="27">$L67*M67</f>
        <v>135.975</v>
      </c>
      <c r="S67" s="4">
        <f t="shared" si="27"/>
        <v>84.175</v>
      </c>
      <c r="T67" s="4">
        <f t="shared" si="27"/>
        <v>58.275</v>
      </c>
      <c r="U67" s="4">
        <f t="shared" si="27"/>
        <v>32.375</v>
      </c>
      <c r="V67" s="4">
        <f t="shared" si="27"/>
        <v>97.125</v>
      </c>
    </row>
    <row r="68">
      <c r="B68" s="3" t="s">
        <v>18</v>
      </c>
      <c r="C68" s="4">
        <f t="shared" si="28"/>
        <v>75</v>
      </c>
      <c r="D68" s="232">
        <f t="shared" si="18"/>
        <v>105</v>
      </c>
      <c r="E68" s="232">
        <f t="shared" ref="E68:F68" si="29">D68+20</f>
        <v>125</v>
      </c>
      <c r="F68" s="232">
        <f t="shared" si="29"/>
        <v>145</v>
      </c>
      <c r="H68" s="5">
        <v>25.0</v>
      </c>
      <c r="J68" s="3">
        <v>5.0</v>
      </c>
      <c r="K68" s="3">
        <v>10.0</v>
      </c>
      <c r="L68" s="4">
        <f t="shared" si="20"/>
        <v>124.5</v>
      </c>
      <c r="M68" s="231">
        <v>1.05</v>
      </c>
      <c r="N68" s="231">
        <v>0.75</v>
      </c>
      <c r="O68" s="231">
        <v>0.55</v>
      </c>
      <c r="P68" s="231">
        <v>0.35</v>
      </c>
      <c r="Q68" s="231">
        <v>0.75</v>
      </c>
      <c r="R68" s="4">
        <f t="shared" ref="R68:V68" si="30">$L68*M68</f>
        <v>130.725</v>
      </c>
      <c r="S68" s="4">
        <f t="shared" si="30"/>
        <v>93.375</v>
      </c>
      <c r="T68" s="4">
        <f t="shared" si="30"/>
        <v>68.475</v>
      </c>
      <c r="U68" s="4">
        <f t="shared" si="30"/>
        <v>43.575</v>
      </c>
      <c r="V68" s="4">
        <f t="shared" si="30"/>
        <v>93.375</v>
      </c>
    </row>
    <row r="69">
      <c r="B69" s="3" t="s">
        <v>19</v>
      </c>
      <c r="C69" s="4">
        <f t="shared" si="28"/>
        <v>65</v>
      </c>
      <c r="D69" s="232">
        <f t="shared" si="18"/>
        <v>95</v>
      </c>
      <c r="E69" s="232">
        <f t="shared" ref="E69:F69" si="31">D69+20</f>
        <v>115</v>
      </c>
      <c r="F69" s="232">
        <f t="shared" si="31"/>
        <v>135</v>
      </c>
      <c r="H69" s="5">
        <v>25.0</v>
      </c>
      <c r="J69" s="3">
        <v>5.0</v>
      </c>
      <c r="K69" s="3">
        <v>10.0</v>
      </c>
      <c r="L69" s="4">
        <f t="shared" si="20"/>
        <v>119.5</v>
      </c>
      <c r="M69" s="231">
        <v>1.05</v>
      </c>
      <c r="N69" s="231">
        <v>0.75</v>
      </c>
      <c r="O69" s="231">
        <v>0.55</v>
      </c>
      <c r="P69" s="231">
        <v>0.35</v>
      </c>
      <c r="Q69" s="231">
        <v>0.75</v>
      </c>
      <c r="R69" s="4">
        <f t="shared" ref="R69:V69" si="32">$L69*M69</f>
        <v>125.475</v>
      </c>
      <c r="S69" s="4">
        <f t="shared" si="32"/>
        <v>89.625</v>
      </c>
      <c r="T69" s="4">
        <f t="shared" si="32"/>
        <v>65.725</v>
      </c>
      <c r="U69" s="4">
        <f t="shared" si="32"/>
        <v>41.825</v>
      </c>
      <c r="V69" s="4">
        <f t="shared" si="32"/>
        <v>89.625</v>
      </c>
    </row>
    <row r="70">
      <c r="B70" s="3" t="s">
        <v>20</v>
      </c>
      <c r="C70" s="4">
        <f t="shared" si="28"/>
        <v>55</v>
      </c>
      <c r="D70" s="232">
        <f t="shared" si="18"/>
        <v>85</v>
      </c>
      <c r="E70" s="232">
        <f t="shared" ref="E70:F70" si="33">D70+20</f>
        <v>105</v>
      </c>
      <c r="F70" s="232">
        <f t="shared" si="33"/>
        <v>125</v>
      </c>
      <c r="H70" s="5">
        <v>25.0</v>
      </c>
      <c r="J70" s="3">
        <v>5.0</v>
      </c>
      <c r="K70" s="3">
        <v>10.0</v>
      </c>
      <c r="L70" s="4">
        <f t="shared" si="20"/>
        <v>114.5</v>
      </c>
      <c r="M70" s="231">
        <v>1.05</v>
      </c>
      <c r="N70" s="231">
        <v>0.75</v>
      </c>
      <c r="O70" s="231">
        <v>0.55</v>
      </c>
      <c r="P70" s="231">
        <v>0.35</v>
      </c>
      <c r="Q70" s="231">
        <v>0.75</v>
      </c>
      <c r="R70" s="4">
        <f t="shared" ref="R70:V70" si="34">$L70*M70</f>
        <v>120.225</v>
      </c>
      <c r="S70" s="4">
        <f t="shared" si="34"/>
        <v>85.875</v>
      </c>
      <c r="T70" s="4">
        <f t="shared" si="34"/>
        <v>62.975</v>
      </c>
      <c r="U70" s="4">
        <f t="shared" si="34"/>
        <v>40.075</v>
      </c>
      <c r="V70" s="4">
        <f t="shared" si="34"/>
        <v>85.875</v>
      </c>
    </row>
    <row r="71">
      <c r="B71" s="3" t="s">
        <v>21</v>
      </c>
      <c r="C71" s="4">
        <f t="shared" si="28"/>
        <v>45</v>
      </c>
      <c r="D71" s="232">
        <f t="shared" si="18"/>
        <v>75</v>
      </c>
      <c r="E71" s="232">
        <f t="shared" ref="E71:F71" si="35">D71+20</f>
        <v>95</v>
      </c>
      <c r="F71" s="232">
        <f t="shared" si="35"/>
        <v>115</v>
      </c>
      <c r="H71" s="5">
        <v>25.0</v>
      </c>
      <c r="J71" s="3">
        <v>5.0</v>
      </c>
      <c r="K71" s="3">
        <v>10.0</v>
      </c>
      <c r="L71" s="4">
        <f t="shared" si="20"/>
        <v>109.5</v>
      </c>
      <c r="M71" s="231">
        <v>1.05</v>
      </c>
      <c r="N71" s="231">
        <v>0.75</v>
      </c>
      <c r="O71" s="231">
        <v>0.55</v>
      </c>
      <c r="P71" s="231">
        <v>0.35</v>
      </c>
      <c r="Q71" s="231">
        <v>0.95</v>
      </c>
      <c r="R71" s="4">
        <f t="shared" ref="R71:V71" si="36">$L71*M71</f>
        <v>114.975</v>
      </c>
      <c r="S71" s="4">
        <f t="shared" si="36"/>
        <v>82.125</v>
      </c>
      <c r="T71" s="4">
        <f t="shared" si="36"/>
        <v>60.225</v>
      </c>
      <c r="U71" s="4">
        <f t="shared" si="36"/>
        <v>38.325</v>
      </c>
      <c r="V71" s="4">
        <f t="shared" si="36"/>
        <v>104.025</v>
      </c>
    </row>
    <row r="72">
      <c r="B72" s="3" t="s">
        <v>22</v>
      </c>
      <c r="C72" s="4">
        <f t="shared" si="28"/>
        <v>35</v>
      </c>
      <c r="D72" s="232">
        <f t="shared" si="18"/>
        <v>65</v>
      </c>
      <c r="E72" s="232">
        <f t="shared" ref="E72:F72" si="37">D72+20</f>
        <v>85</v>
      </c>
      <c r="F72" s="232">
        <f t="shared" si="37"/>
        <v>105</v>
      </c>
      <c r="H72" s="5">
        <v>25.0</v>
      </c>
      <c r="J72" s="3">
        <v>5.0</v>
      </c>
      <c r="K72" s="3">
        <v>10.0</v>
      </c>
      <c r="L72" s="4">
        <f t="shared" si="20"/>
        <v>104.5</v>
      </c>
      <c r="M72" s="231">
        <v>1.05</v>
      </c>
      <c r="N72" s="231">
        <v>0.75</v>
      </c>
      <c r="O72" s="231">
        <v>0.55</v>
      </c>
      <c r="P72" s="231">
        <v>0.35</v>
      </c>
      <c r="Q72" s="231">
        <v>0.95</v>
      </c>
      <c r="R72" s="4">
        <f t="shared" ref="R72:V72" si="38">$L72*M72</f>
        <v>109.725</v>
      </c>
      <c r="S72" s="4">
        <f t="shared" si="38"/>
        <v>78.375</v>
      </c>
      <c r="T72" s="4">
        <f t="shared" si="38"/>
        <v>57.475</v>
      </c>
      <c r="U72" s="4">
        <f t="shared" si="38"/>
        <v>36.575</v>
      </c>
      <c r="V72" s="4">
        <f t="shared" si="38"/>
        <v>99.275</v>
      </c>
    </row>
    <row r="73">
      <c r="B73" s="3" t="s">
        <v>23</v>
      </c>
      <c r="C73" s="4">
        <f t="shared" si="28"/>
        <v>25</v>
      </c>
      <c r="D73" s="232">
        <f t="shared" si="18"/>
        <v>55</v>
      </c>
      <c r="E73" s="232">
        <f t="shared" ref="E73:F73" si="39">D73+20</f>
        <v>75</v>
      </c>
      <c r="F73" s="232">
        <f t="shared" si="39"/>
        <v>95</v>
      </c>
      <c r="H73" s="5">
        <v>25.0</v>
      </c>
      <c r="J73" s="3">
        <v>5.0</v>
      </c>
      <c r="K73" s="3">
        <v>10.0</v>
      </c>
      <c r="L73" s="4">
        <f t="shared" si="20"/>
        <v>99.5</v>
      </c>
      <c r="M73" s="231">
        <v>1.05</v>
      </c>
      <c r="N73" s="231">
        <v>0.85</v>
      </c>
      <c r="O73" s="231">
        <v>0.65</v>
      </c>
      <c r="P73" s="231">
        <v>0.55</v>
      </c>
      <c r="Q73" s="231">
        <v>0.95</v>
      </c>
      <c r="R73" s="4">
        <f t="shared" ref="R73:V73" si="40">$L73*M73</f>
        <v>104.475</v>
      </c>
      <c r="S73" s="4">
        <f t="shared" si="40"/>
        <v>84.575</v>
      </c>
      <c r="T73" s="4">
        <f t="shared" si="40"/>
        <v>64.675</v>
      </c>
      <c r="U73" s="4">
        <f t="shared" si="40"/>
        <v>54.725</v>
      </c>
      <c r="V73" s="4">
        <f t="shared" si="40"/>
        <v>94.525</v>
      </c>
    </row>
    <row r="74">
      <c r="B74" s="3" t="s">
        <v>24</v>
      </c>
      <c r="C74" s="4">
        <f t="shared" si="28"/>
        <v>15</v>
      </c>
      <c r="D74" s="232">
        <f t="shared" si="18"/>
        <v>45</v>
      </c>
      <c r="E74" s="232">
        <f t="shared" ref="E74:F74" si="41">D74+20</f>
        <v>65</v>
      </c>
      <c r="F74" s="232">
        <f t="shared" si="41"/>
        <v>85</v>
      </c>
      <c r="H74" s="5">
        <v>25.0</v>
      </c>
      <c r="J74" s="3">
        <v>5.0</v>
      </c>
      <c r="K74" s="3">
        <v>10.0</v>
      </c>
      <c r="L74" s="4">
        <f t="shared" si="20"/>
        <v>94.5</v>
      </c>
      <c r="M74" s="231">
        <v>1.05</v>
      </c>
      <c r="N74" s="231">
        <v>0.85</v>
      </c>
      <c r="O74" s="231">
        <v>0.65</v>
      </c>
      <c r="P74" s="231">
        <v>0.55</v>
      </c>
      <c r="Q74" s="231">
        <v>0.95</v>
      </c>
      <c r="R74" s="4">
        <f t="shared" ref="R74:V74" si="42">$L74*M74</f>
        <v>99.225</v>
      </c>
      <c r="S74" s="4">
        <f t="shared" si="42"/>
        <v>80.325</v>
      </c>
      <c r="T74" s="4">
        <f t="shared" si="42"/>
        <v>61.425</v>
      </c>
      <c r="U74" s="4">
        <f t="shared" si="42"/>
        <v>51.975</v>
      </c>
      <c r="V74" s="4">
        <f t="shared" si="42"/>
        <v>89.775</v>
      </c>
    </row>
    <row r="75">
      <c r="B75" s="3" t="s">
        <v>26</v>
      </c>
      <c r="C75" s="4">
        <f t="shared" si="28"/>
        <v>5</v>
      </c>
      <c r="D75" s="232">
        <f t="shared" si="18"/>
        <v>35</v>
      </c>
      <c r="E75" s="232">
        <f t="shared" ref="E75:F75" si="43">D75+20</f>
        <v>55</v>
      </c>
      <c r="F75" s="232">
        <f t="shared" si="43"/>
        <v>75</v>
      </c>
      <c r="H75" s="5">
        <v>25.0</v>
      </c>
      <c r="J75" s="3">
        <v>5.0</v>
      </c>
      <c r="K75" s="3">
        <v>10.0</v>
      </c>
      <c r="L75" s="4">
        <f t="shared" si="20"/>
        <v>89.5</v>
      </c>
      <c r="M75" s="231">
        <v>1.05</v>
      </c>
      <c r="N75" s="231">
        <v>0.85</v>
      </c>
      <c r="O75" s="231">
        <v>0.65</v>
      </c>
      <c r="P75" s="231">
        <v>0.65</v>
      </c>
      <c r="Q75" s="231">
        <v>0.95</v>
      </c>
      <c r="R75" s="4">
        <f t="shared" ref="R75:V75" si="44">$L75*M75</f>
        <v>93.975</v>
      </c>
      <c r="S75" s="4">
        <f t="shared" si="44"/>
        <v>76.075</v>
      </c>
      <c r="T75" s="4">
        <f t="shared" si="44"/>
        <v>58.175</v>
      </c>
      <c r="U75" s="4">
        <f t="shared" si="44"/>
        <v>58.175</v>
      </c>
      <c r="V75" s="4">
        <f t="shared" si="44"/>
        <v>85.025</v>
      </c>
    </row>
    <row r="76">
      <c r="B76" s="3" t="s">
        <v>67</v>
      </c>
      <c r="C76" s="3">
        <v>20.0</v>
      </c>
      <c r="D76" s="230">
        <v>20.0</v>
      </c>
      <c r="E76" s="230">
        <v>20.0</v>
      </c>
      <c r="F76" s="230">
        <v>20.0</v>
      </c>
      <c r="H76" s="5">
        <v>25.0</v>
      </c>
      <c r="J76" s="3">
        <v>5.0</v>
      </c>
      <c r="K76" s="3">
        <v>10.0</v>
      </c>
      <c r="L76" s="4">
        <f t="shared" si="20"/>
        <v>97</v>
      </c>
      <c r="M76" s="3" t="s">
        <v>68</v>
      </c>
    </row>
    <row r="80">
      <c r="D80" s="233" t="s">
        <v>236</v>
      </c>
      <c r="G80" s="3" t="s">
        <v>83</v>
      </c>
      <c r="H80" s="234">
        <v>1.1</v>
      </c>
      <c r="I80" s="235">
        <f t="shared" ref="I80:I93" si="45">H80*((C62+$H62)/2)+H80*((80+$H62)/2)+(1+$B$93)</f>
        <v>116.85</v>
      </c>
      <c r="J80" s="236">
        <v>1.1</v>
      </c>
      <c r="K80" s="236">
        <f t="shared" ref="K80:K93" si="46">J80*((D62+$H62)/2)+J80*((80+$H62)/2)+(1+$B$93)</f>
        <v>122.35</v>
      </c>
      <c r="L80" s="174">
        <v>1.3</v>
      </c>
      <c r="M80" s="174">
        <f t="shared" ref="M80:M93" si="47">L80*((E62+$H62)/2)+L80*((80+$H62)/2)+(1+$B$93)</f>
        <v>150.55</v>
      </c>
    </row>
    <row r="81">
      <c r="B81" s="237" t="s">
        <v>237</v>
      </c>
      <c r="D81" s="3">
        <v>25.0</v>
      </c>
      <c r="G81" s="3" t="s">
        <v>13</v>
      </c>
      <c r="H81" s="234">
        <f t="shared" ref="H81:H93" si="48">H80</f>
        <v>1.1</v>
      </c>
      <c r="I81" s="235">
        <f t="shared" si="45"/>
        <v>111.35</v>
      </c>
      <c r="J81" s="236">
        <f t="shared" ref="J81:J93" si="49">J80</f>
        <v>1.1</v>
      </c>
      <c r="K81" s="236">
        <f t="shared" si="46"/>
        <v>127.85</v>
      </c>
      <c r="L81" s="174">
        <v>1.3</v>
      </c>
      <c r="M81" s="174">
        <f t="shared" si="47"/>
        <v>163.55</v>
      </c>
    </row>
    <row r="82">
      <c r="B82" s="237" t="s">
        <v>238</v>
      </c>
      <c r="D82" s="3">
        <v>55.0</v>
      </c>
      <c r="G82" s="3" t="s">
        <v>14</v>
      </c>
      <c r="H82" s="234">
        <f t="shared" si="48"/>
        <v>1.1</v>
      </c>
      <c r="I82" s="235">
        <f t="shared" si="45"/>
        <v>132.25</v>
      </c>
      <c r="J82" s="236">
        <f t="shared" si="49"/>
        <v>1.1</v>
      </c>
      <c r="K82" s="236">
        <f t="shared" si="46"/>
        <v>148.75</v>
      </c>
      <c r="L82" s="174">
        <v>1.3</v>
      </c>
      <c r="M82" s="174">
        <f t="shared" si="47"/>
        <v>188.25</v>
      </c>
    </row>
    <row r="83">
      <c r="B83" s="237" t="s">
        <v>239</v>
      </c>
      <c r="D83" s="3">
        <v>100.0</v>
      </c>
      <c r="G83" s="3" t="s">
        <v>15</v>
      </c>
      <c r="H83" s="234">
        <f t="shared" si="48"/>
        <v>1.1</v>
      </c>
      <c r="I83" s="235">
        <f t="shared" si="45"/>
        <v>126.75</v>
      </c>
      <c r="J83" s="236">
        <f t="shared" si="49"/>
        <v>1.1</v>
      </c>
      <c r="K83" s="236">
        <f t="shared" si="46"/>
        <v>143.25</v>
      </c>
      <c r="L83" s="174">
        <v>1.3</v>
      </c>
      <c r="M83" s="174">
        <f t="shared" si="47"/>
        <v>181.75</v>
      </c>
    </row>
    <row r="84">
      <c r="B84" s="237" t="s">
        <v>240</v>
      </c>
      <c r="D84" s="3">
        <v>160.0</v>
      </c>
      <c r="G84" s="3" t="s">
        <v>16</v>
      </c>
      <c r="H84" s="234">
        <f t="shared" si="48"/>
        <v>1.1</v>
      </c>
      <c r="I84" s="235">
        <f t="shared" si="45"/>
        <v>126.75</v>
      </c>
      <c r="J84" s="236">
        <f t="shared" si="49"/>
        <v>1.1</v>
      </c>
      <c r="K84" s="236">
        <f t="shared" si="46"/>
        <v>143.25</v>
      </c>
      <c r="L84" s="174">
        <v>1.3</v>
      </c>
      <c r="M84" s="174">
        <f t="shared" si="47"/>
        <v>181.75</v>
      </c>
    </row>
    <row r="85">
      <c r="B85" s="237" t="s">
        <v>241</v>
      </c>
      <c r="D85" s="3">
        <v>235.0</v>
      </c>
      <c r="G85" s="3" t="s">
        <v>17</v>
      </c>
      <c r="H85" s="234">
        <f t="shared" si="48"/>
        <v>1.1</v>
      </c>
      <c r="I85" s="235">
        <f t="shared" si="45"/>
        <v>121.25</v>
      </c>
      <c r="J85" s="236">
        <f t="shared" si="49"/>
        <v>1.1</v>
      </c>
      <c r="K85" s="236">
        <f t="shared" si="46"/>
        <v>137.75</v>
      </c>
      <c r="L85" s="174">
        <v>1.3</v>
      </c>
      <c r="M85" s="174">
        <f t="shared" si="47"/>
        <v>175.25</v>
      </c>
    </row>
    <row r="86">
      <c r="B86" s="237" t="s">
        <v>242</v>
      </c>
      <c r="D86" s="3">
        <v>325.0</v>
      </c>
      <c r="G86" s="3" t="s">
        <v>18</v>
      </c>
      <c r="H86" s="234">
        <f t="shared" si="48"/>
        <v>1.1</v>
      </c>
      <c r="I86" s="235">
        <f t="shared" si="45"/>
        <v>115.75</v>
      </c>
      <c r="J86" s="236">
        <f t="shared" si="49"/>
        <v>1.1</v>
      </c>
      <c r="K86" s="236">
        <f t="shared" si="46"/>
        <v>132.25</v>
      </c>
      <c r="L86" s="174">
        <v>1.3</v>
      </c>
      <c r="M86" s="174">
        <f t="shared" si="47"/>
        <v>168.75</v>
      </c>
    </row>
    <row r="87">
      <c r="G87" s="3" t="s">
        <v>19</v>
      </c>
      <c r="H87" s="234">
        <f t="shared" si="48"/>
        <v>1.1</v>
      </c>
      <c r="I87" s="235">
        <f t="shared" si="45"/>
        <v>110.25</v>
      </c>
      <c r="J87" s="236">
        <f t="shared" si="49"/>
        <v>1.1</v>
      </c>
      <c r="K87" s="236">
        <f t="shared" si="46"/>
        <v>126.75</v>
      </c>
      <c r="L87" s="174">
        <v>1.3</v>
      </c>
      <c r="M87" s="174">
        <f t="shared" si="47"/>
        <v>162.25</v>
      </c>
    </row>
    <row r="88">
      <c r="G88" s="3" t="s">
        <v>20</v>
      </c>
      <c r="H88" s="234">
        <f t="shared" si="48"/>
        <v>1.1</v>
      </c>
      <c r="I88" s="235">
        <f t="shared" si="45"/>
        <v>104.75</v>
      </c>
      <c r="J88" s="236">
        <f t="shared" si="49"/>
        <v>1.1</v>
      </c>
      <c r="K88" s="236">
        <f t="shared" si="46"/>
        <v>121.25</v>
      </c>
      <c r="L88" s="174">
        <v>1.3</v>
      </c>
      <c r="M88" s="174">
        <f t="shared" si="47"/>
        <v>155.75</v>
      </c>
    </row>
    <row r="89">
      <c r="G89" s="3" t="s">
        <v>21</v>
      </c>
      <c r="H89" s="234">
        <f t="shared" si="48"/>
        <v>1.1</v>
      </c>
      <c r="I89" s="235">
        <f t="shared" si="45"/>
        <v>99.25</v>
      </c>
      <c r="J89" s="236">
        <f t="shared" si="49"/>
        <v>1.1</v>
      </c>
      <c r="K89" s="236">
        <f t="shared" si="46"/>
        <v>115.75</v>
      </c>
      <c r="L89" s="174">
        <v>1.3</v>
      </c>
      <c r="M89" s="174">
        <f t="shared" si="47"/>
        <v>149.25</v>
      </c>
    </row>
    <row r="90">
      <c r="B90" s="3" t="s">
        <v>124</v>
      </c>
      <c r="G90" s="3" t="s">
        <v>22</v>
      </c>
      <c r="H90" s="234">
        <f t="shared" si="48"/>
        <v>1.1</v>
      </c>
      <c r="I90" s="235">
        <f t="shared" si="45"/>
        <v>93.75</v>
      </c>
      <c r="J90" s="236">
        <f t="shared" si="49"/>
        <v>1.1</v>
      </c>
      <c r="K90" s="236">
        <f t="shared" si="46"/>
        <v>110.25</v>
      </c>
      <c r="L90" s="174">
        <v>1.3</v>
      </c>
      <c r="M90" s="174">
        <f t="shared" si="47"/>
        <v>142.75</v>
      </c>
    </row>
    <row r="91">
      <c r="B91" s="3" t="s">
        <v>243</v>
      </c>
      <c r="D91" s="3" t="s">
        <v>244</v>
      </c>
      <c r="E91" s="3" t="s">
        <v>245</v>
      </c>
      <c r="G91" s="3" t="s">
        <v>23</v>
      </c>
      <c r="H91" s="234">
        <f t="shared" si="48"/>
        <v>1.1</v>
      </c>
      <c r="I91" s="235">
        <f t="shared" si="45"/>
        <v>88.25</v>
      </c>
      <c r="J91" s="236">
        <f t="shared" si="49"/>
        <v>1.1</v>
      </c>
      <c r="K91" s="236">
        <f t="shared" si="46"/>
        <v>104.75</v>
      </c>
      <c r="L91" s="174">
        <v>1.3</v>
      </c>
      <c r="M91" s="174">
        <f t="shared" si="47"/>
        <v>136.25</v>
      </c>
    </row>
    <row r="92">
      <c r="G92" s="3" t="s">
        <v>24</v>
      </c>
      <c r="H92" s="234">
        <f t="shared" si="48"/>
        <v>1.1</v>
      </c>
      <c r="I92" s="235">
        <f t="shared" si="45"/>
        <v>82.75</v>
      </c>
      <c r="J92" s="236">
        <f t="shared" si="49"/>
        <v>1.1</v>
      </c>
      <c r="K92" s="236">
        <f t="shared" si="46"/>
        <v>99.25</v>
      </c>
      <c r="L92" s="174">
        <v>1.3</v>
      </c>
      <c r="M92" s="174">
        <f t="shared" si="47"/>
        <v>129.75</v>
      </c>
    </row>
    <row r="93">
      <c r="A93" s="3" t="s">
        <v>28</v>
      </c>
      <c r="B93" s="4">
        <f>RANDBETWEEN(0,3)</f>
        <v>2</v>
      </c>
      <c r="G93" s="3" t="s">
        <v>26</v>
      </c>
      <c r="H93" s="234">
        <f t="shared" si="48"/>
        <v>1.1</v>
      </c>
      <c r="I93" s="235">
        <f t="shared" si="45"/>
        <v>77.25</v>
      </c>
      <c r="J93" s="236">
        <f t="shared" si="49"/>
        <v>1.1</v>
      </c>
      <c r="K93" s="236">
        <f t="shared" si="46"/>
        <v>93.75</v>
      </c>
      <c r="L93" s="174">
        <v>1.3</v>
      </c>
      <c r="M93" s="174">
        <f t="shared" si="47"/>
        <v>123.25</v>
      </c>
    </row>
    <row r="94">
      <c r="H94" s="234"/>
      <c r="I94" s="235"/>
      <c r="J94" s="236"/>
      <c r="K94" s="236"/>
    </row>
  </sheetData>
  <mergeCells count="6">
    <mergeCell ref="B3:C3"/>
    <mergeCell ref="B4:C4"/>
    <mergeCell ref="B5:C5"/>
    <mergeCell ref="B6:B10"/>
    <mergeCell ref="B11:B15"/>
    <mergeCell ref="O36:V40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5"/>
    <col customWidth="1" min="6" max="6" width="15.75"/>
    <col customWidth="1" min="8" max="8" width="5.13"/>
    <col customWidth="1" min="9" max="9" width="29.63"/>
  </cols>
  <sheetData>
    <row r="1">
      <c r="B1" s="238" t="s">
        <v>141</v>
      </c>
      <c r="C1" s="239"/>
      <c r="D1" s="239"/>
      <c r="E1" s="239"/>
      <c r="G1" s="225" t="s">
        <v>164</v>
      </c>
      <c r="H1" s="240"/>
      <c r="I1" s="240"/>
    </row>
    <row r="2">
      <c r="A2" s="209" t="s">
        <v>246</v>
      </c>
      <c r="B2" s="209"/>
      <c r="C2" s="241"/>
      <c r="D2" s="241"/>
      <c r="E2" s="241"/>
      <c r="G2" s="209" t="s">
        <v>247</v>
      </c>
      <c r="H2" s="209"/>
      <c r="I2" s="209" t="s">
        <v>248</v>
      </c>
    </row>
    <row r="3">
      <c r="A3" s="241"/>
      <c r="B3" s="209" t="s">
        <v>249</v>
      </c>
      <c r="C3" s="209" t="s">
        <v>250</v>
      </c>
      <c r="D3" s="241"/>
      <c r="E3" s="241"/>
      <c r="G3" s="209">
        <v>-10.0</v>
      </c>
      <c r="H3" s="209">
        <v>25.0</v>
      </c>
      <c r="I3" s="209" t="s">
        <v>251</v>
      </c>
    </row>
    <row r="4">
      <c r="A4" s="241"/>
      <c r="B4" s="209" t="s">
        <v>252</v>
      </c>
      <c r="C4" s="209" t="s">
        <v>253</v>
      </c>
      <c r="D4" s="241"/>
      <c r="E4" s="241"/>
      <c r="G4" s="209">
        <v>-9.0</v>
      </c>
      <c r="H4" s="209">
        <v>22.5</v>
      </c>
      <c r="I4" s="209" t="s">
        <v>254</v>
      </c>
    </row>
    <row r="5">
      <c r="A5" s="241"/>
      <c r="B5" s="209" t="s">
        <v>255</v>
      </c>
      <c r="C5" s="209" t="s">
        <v>256</v>
      </c>
      <c r="D5" s="241"/>
      <c r="E5" s="241"/>
      <c r="G5" s="209">
        <v>-8.0</v>
      </c>
      <c r="H5" s="209">
        <v>20.0</v>
      </c>
      <c r="I5" s="209" t="s">
        <v>257</v>
      </c>
    </row>
    <row r="6">
      <c r="A6" s="241"/>
      <c r="B6" s="209" t="s">
        <v>258</v>
      </c>
      <c r="C6" s="209" t="s">
        <v>259</v>
      </c>
      <c r="D6" s="241"/>
      <c r="E6" s="241"/>
      <c r="G6" s="209">
        <v>-7.0</v>
      </c>
      <c r="H6" s="209">
        <v>17.5</v>
      </c>
      <c r="I6" s="209" t="s">
        <v>260</v>
      </c>
    </row>
    <row r="7">
      <c r="A7" s="241"/>
      <c r="B7" s="209" t="s">
        <v>261</v>
      </c>
      <c r="C7" s="209" t="s">
        <v>262</v>
      </c>
      <c r="D7" s="241"/>
      <c r="E7" s="241"/>
      <c r="G7" s="209">
        <v>-6.0</v>
      </c>
      <c r="H7" s="209">
        <v>15.0</v>
      </c>
      <c r="I7" s="209" t="s">
        <v>263</v>
      </c>
    </row>
    <row r="8">
      <c r="A8" s="241"/>
      <c r="B8" s="209" t="s">
        <v>264</v>
      </c>
      <c r="C8" s="209" t="s">
        <v>265</v>
      </c>
      <c r="D8" s="241"/>
      <c r="E8" s="241"/>
      <c r="G8" s="209">
        <v>-5.0</v>
      </c>
      <c r="H8" s="209">
        <v>12.5</v>
      </c>
      <c r="I8" s="209" t="s">
        <v>266</v>
      </c>
    </row>
    <row r="9">
      <c r="A9" s="241"/>
      <c r="B9" s="209" t="s">
        <v>267</v>
      </c>
      <c r="C9" s="209" t="s">
        <v>268</v>
      </c>
      <c r="D9" s="241"/>
      <c r="E9" s="241"/>
      <c r="G9" s="209">
        <v>-4.0</v>
      </c>
      <c r="H9" s="209">
        <v>10.0</v>
      </c>
      <c r="I9" s="209" t="s">
        <v>269</v>
      </c>
    </row>
    <row r="10">
      <c r="A10" s="241"/>
      <c r="B10" s="209" t="s">
        <v>270</v>
      </c>
      <c r="C10" s="209" t="s">
        <v>271</v>
      </c>
      <c r="D10" s="241"/>
      <c r="E10" s="241"/>
      <c r="G10" s="209">
        <v>-3.0</v>
      </c>
      <c r="H10" s="209">
        <v>7.5</v>
      </c>
      <c r="I10" s="209" t="s">
        <v>272</v>
      </c>
    </row>
    <row r="11">
      <c r="A11" s="241"/>
      <c r="B11" s="209" t="s">
        <v>273</v>
      </c>
      <c r="C11" s="209" t="s">
        <v>274</v>
      </c>
      <c r="D11" s="241"/>
      <c r="E11" s="241"/>
      <c r="G11" s="209">
        <v>-2.0</v>
      </c>
      <c r="H11" s="209">
        <v>5.0</v>
      </c>
      <c r="I11" s="209" t="s">
        <v>275</v>
      </c>
    </row>
    <row r="12">
      <c r="A12" s="241"/>
      <c r="B12" s="209" t="s">
        <v>276</v>
      </c>
      <c r="C12" s="209" t="s">
        <v>277</v>
      </c>
      <c r="D12" s="241"/>
      <c r="E12" s="241"/>
      <c r="G12" s="209">
        <v>-1.0</v>
      </c>
      <c r="H12" s="209">
        <v>2.5</v>
      </c>
      <c r="I12" s="209" t="s">
        <v>278</v>
      </c>
    </row>
    <row r="13">
      <c r="G13" s="209">
        <v>0.0</v>
      </c>
      <c r="H13" s="209">
        <v>0.0</v>
      </c>
      <c r="I13" s="209" t="s">
        <v>279</v>
      </c>
    </row>
    <row r="14">
      <c r="G14" s="209">
        <v>1.0</v>
      </c>
      <c r="H14" s="209">
        <v>-2.5</v>
      </c>
      <c r="I14" s="209" t="s">
        <v>280</v>
      </c>
    </row>
    <row r="15">
      <c r="G15" s="209">
        <v>2.0</v>
      </c>
      <c r="H15" s="209">
        <v>-5.0</v>
      </c>
      <c r="I15" s="209" t="s">
        <v>281</v>
      </c>
    </row>
    <row r="16">
      <c r="G16" s="209">
        <v>3.0</v>
      </c>
      <c r="H16" s="209">
        <v>-7.5</v>
      </c>
      <c r="I16" s="209" t="s">
        <v>282</v>
      </c>
    </row>
    <row r="17">
      <c r="G17" s="209">
        <v>4.0</v>
      </c>
      <c r="H17" s="209">
        <v>-10.0</v>
      </c>
      <c r="I17" s="209" t="s">
        <v>283</v>
      </c>
    </row>
    <row r="18">
      <c r="G18" s="209">
        <v>5.0</v>
      </c>
      <c r="H18" s="209">
        <v>-12.5</v>
      </c>
      <c r="I18" s="209" t="s">
        <v>284</v>
      </c>
    </row>
    <row r="19">
      <c r="G19" s="209">
        <v>6.0</v>
      </c>
      <c r="H19" s="209">
        <v>-15.0</v>
      </c>
      <c r="I19" s="209" t="s">
        <v>285</v>
      </c>
    </row>
    <row r="20">
      <c r="G20" s="209">
        <v>7.0</v>
      </c>
      <c r="H20" s="209">
        <v>-17.5</v>
      </c>
      <c r="I20" s="209" t="s">
        <v>286</v>
      </c>
    </row>
    <row r="21">
      <c r="G21" s="209">
        <v>8.0</v>
      </c>
      <c r="H21" s="209">
        <v>-20.0</v>
      </c>
      <c r="I21" s="209" t="s">
        <v>287</v>
      </c>
    </row>
    <row r="22">
      <c r="G22" s="209">
        <v>9.0</v>
      </c>
      <c r="H22" s="209">
        <v>-22.5</v>
      </c>
      <c r="I22" s="209" t="s">
        <v>288</v>
      </c>
    </row>
    <row r="23">
      <c r="G23" s="209">
        <v>10.0</v>
      </c>
      <c r="H23" s="209">
        <v>-25.0</v>
      </c>
      <c r="I23" s="209" t="s">
        <v>289</v>
      </c>
    </row>
    <row r="24">
      <c r="B24" s="171" t="s">
        <v>290</v>
      </c>
      <c r="C24" s="172"/>
      <c r="D24" s="172"/>
      <c r="E24" s="172"/>
    </row>
    <row r="25">
      <c r="A25" s="209" t="s">
        <v>291</v>
      </c>
      <c r="B25" s="238" t="s">
        <v>141</v>
      </c>
      <c r="C25" s="242"/>
      <c r="D25" s="242"/>
      <c r="E25" s="242"/>
      <c r="G25" s="225" t="s">
        <v>164</v>
      </c>
      <c r="H25" s="240"/>
      <c r="I25" s="240"/>
    </row>
    <row r="26">
      <c r="A26" s="241"/>
      <c r="B26" s="209" t="s">
        <v>249</v>
      </c>
      <c r="C26" s="209" t="s">
        <v>292</v>
      </c>
      <c r="D26" s="241"/>
      <c r="E26" s="241"/>
      <c r="G26" s="209" t="s">
        <v>247</v>
      </c>
      <c r="H26" s="209"/>
      <c r="I26" s="209" t="s">
        <v>248</v>
      </c>
    </row>
    <row r="27">
      <c r="A27" s="241"/>
      <c r="B27" s="209" t="s">
        <v>252</v>
      </c>
      <c r="C27" s="209" t="s">
        <v>293</v>
      </c>
      <c r="D27" s="241"/>
      <c r="E27" s="241"/>
      <c r="G27" s="209">
        <v>-10.0</v>
      </c>
      <c r="H27" s="209">
        <v>-20.0</v>
      </c>
      <c r="I27" s="209" t="s">
        <v>294</v>
      </c>
    </row>
    <row r="28">
      <c r="A28" s="241"/>
      <c r="B28" s="209" t="s">
        <v>255</v>
      </c>
      <c r="C28" s="209" t="s">
        <v>295</v>
      </c>
      <c r="D28" s="241"/>
      <c r="E28" s="241"/>
      <c r="G28" s="209">
        <v>-9.0</v>
      </c>
      <c r="H28" s="209">
        <v>-18.0</v>
      </c>
      <c r="I28" s="209" t="s">
        <v>296</v>
      </c>
    </row>
    <row r="29">
      <c r="A29" s="241"/>
      <c r="B29" s="209" t="s">
        <v>258</v>
      </c>
      <c r="C29" s="209" t="s">
        <v>297</v>
      </c>
      <c r="D29" s="241"/>
      <c r="E29" s="241"/>
      <c r="G29" s="209">
        <v>-8.0</v>
      </c>
      <c r="H29" s="209">
        <v>-16.0</v>
      </c>
      <c r="I29" s="209" t="s">
        <v>298</v>
      </c>
    </row>
    <row r="30">
      <c r="A30" s="241"/>
      <c r="B30" s="209" t="s">
        <v>261</v>
      </c>
      <c r="C30" s="209" t="s">
        <v>299</v>
      </c>
      <c r="D30" s="241"/>
      <c r="E30" s="241"/>
      <c r="G30" s="209">
        <v>-7.0</v>
      </c>
      <c r="H30" s="209">
        <v>-14.0</v>
      </c>
      <c r="I30" s="209" t="s">
        <v>300</v>
      </c>
    </row>
    <row r="31">
      <c r="A31" s="241"/>
      <c r="B31" s="209" t="s">
        <v>264</v>
      </c>
      <c r="C31" s="209" t="s">
        <v>301</v>
      </c>
      <c r="D31" s="241"/>
      <c r="E31" s="241"/>
      <c r="G31" s="209">
        <v>-6.0</v>
      </c>
      <c r="H31" s="209">
        <v>-12.0</v>
      </c>
      <c r="I31" s="209" t="s">
        <v>302</v>
      </c>
    </row>
    <row r="32">
      <c r="A32" s="241"/>
      <c r="B32" s="209" t="s">
        <v>267</v>
      </c>
      <c r="C32" s="209" t="s">
        <v>303</v>
      </c>
      <c r="D32" s="241"/>
      <c r="E32" s="241"/>
      <c r="G32" s="209">
        <v>-5.0</v>
      </c>
      <c r="H32" s="209">
        <v>-10.0</v>
      </c>
      <c r="I32" s="209" t="s">
        <v>304</v>
      </c>
    </row>
    <row r="33">
      <c r="A33" s="241"/>
      <c r="B33" s="209" t="s">
        <v>270</v>
      </c>
      <c r="C33" s="209" t="s">
        <v>305</v>
      </c>
      <c r="D33" s="241"/>
      <c r="E33" s="241"/>
      <c r="G33" s="209">
        <v>-4.0</v>
      </c>
      <c r="H33" s="209">
        <v>-8.0</v>
      </c>
      <c r="I33" s="209" t="s">
        <v>306</v>
      </c>
    </row>
    <row r="34">
      <c r="A34" s="241"/>
      <c r="B34" s="209" t="s">
        <v>273</v>
      </c>
      <c r="C34" s="209" t="s">
        <v>307</v>
      </c>
      <c r="D34" s="241"/>
      <c r="E34" s="241"/>
      <c r="G34" s="209">
        <v>-3.0</v>
      </c>
      <c r="H34" s="209">
        <v>-6.0</v>
      </c>
      <c r="I34" s="209" t="s">
        <v>308</v>
      </c>
    </row>
    <row r="35">
      <c r="A35" s="241"/>
      <c r="B35" s="209" t="s">
        <v>276</v>
      </c>
      <c r="C35" s="209" t="s">
        <v>309</v>
      </c>
      <c r="D35" s="241"/>
      <c r="E35" s="241"/>
      <c r="G35" s="209">
        <v>-2.0</v>
      </c>
      <c r="H35" s="209">
        <v>-4.0</v>
      </c>
      <c r="I35" s="209" t="s">
        <v>310</v>
      </c>
    </row>
    <row r="36">
      <c r="B36" s="3"/>
      <c r="C36" s="3"/>
      <c r="G36" s="209">
        <v>-1.0</v>
      </c>
      <c r="H36" s="209">
        <v>-2.0</v>
      </c>
      <c r="I36" s="209" t="s">
        <v>311</v>
      </c>
    </row>
    <row r="37">
      <c r="B37" s="3"/>
      <c r="C37" s="3"/>
      <c r="G37" s="209">
        <v>0.0</v>
      </c>
      <c r="H37" s="209">
        <v>0.0</v>
      </c>
      <c r="I37" s="209" t="s">
        <v>312</v>
      </c>
    </row>
    <row r="38">
      <c r="B38" s="3"/>
      <c r="C38" s="3"/>
      <c r="G38" s="209">
        <v>1.0</v>
      </c>
      <c r="H38" s="209">
        <v>2.0</v>
      </c>
      <c r="I38" s="209" t="s">
        <v>313</v>
      </c>
    </row>
    <row r="39">
      <c r="B39" s="3"/>
      <c r="C39" s="3"/>
      <c r="G39" s="209">
        <v>2.0</v>
      </c>
      <c r="H39" s="209">
        <v>4.0</v>
      </c>
      <c r="I39" s="209" t="s">
        <v>299</v>
      </c>
    </row>
    <row r="40">
      <c r="B40" s="3"/>
      <c r="C40" s="3"/>
      <c r="G40" s="209">
        <v>3.0</v>
      </c>
      <c r="H40" s="209">
        <v>6.0</v>
      </c>
      <c r="I40" s="209" t="s">
        <v>314</v>
      </c>
    </row>
    <row r="41">
      <c r="B41" s="3"/>
      <c r="C41" s="3"/>
      <c r="G41" s="209">
        <v>4.0</v>
      </c>
      <c r="H41" s="209">
        <v>8.0</v>
      </c>
      <c r="I41" s="209" t="s">
        <v>297</v>
      </c>
    </row>
    <row r="42">
      <c r="B42" s="3"/>
      <c r="C42" s="3"/>
      <c r="G42" s="209">
        <v>5.0</v>
      </c>
      <c r="H42" s="209">
        <v>10.0</v>
      </c>
      <c r="I42" s="209" t="s">
        <v>315</v>
      </c>
    </row>
    <row r="43">
      <c r="B43" s="3"/>
      <c r="C43" s="3"/>
      <c r="G43" s="209">
        <v>6.0</v>
      </c>
      <c r="H43" s="209">
        <v>12.0</v>
      </c>
      <c r="I43" s="209" t="s">
        <v>295</v>
      </c>
    </row>
    <row r="44">
      <c r="B44" s="3"/>
      <c r="C44" s="3"/>
      <c r="G44" s="209">
        <v>7.0</v>
      </c>
      <c r="H44" s="209">
        <v>14.0</v>
      </c>
      <c r="I44" s="209" t="s">
        <v>316</v>
      </c>
    </row>
    <row r="45">
      <c r="B45" s="3"/>
      <c r="C45" s="3"/>
      <c r="G45" s="209">
        <v>8.0</v>
      </c>
      <c r="H45" s="209">
        <v>16.0</v>
      </c>
      <c r="I45" s="209" t="s">
        <v>293</v>
      </c>
    </row>
    <row r="46">
      <c r="G46" s="209">
        <v>9.0</v>
      </c>
      <c r="H46" s="209">
        <v>18.0</v>
      </c>
      <c r="I46" s="209" t="s">
        <v>317</v>
      </c>
    </row>
    <row r="47">
      <c r="G47" s="209">
        <v>10.0</v>
      </c>
      <c r="H47" s="209">
        <v>20.0</v>
      </c>
      <c r="I47" s="209" t="s">
        <v>292</v>
      </c>
    </row>
    <row r="48">
      <c r="A48" s="3"/>
    </row>
    <row r="49">
      <c r="A49" s="209" t="s">
        <v>318</v>
      </c>
      <c r="B49" s="238" t="s">
        <v>141</v>
      </c>
      <c r="C49" s="242"/>
      <c r="D49" s="242"/>
      <c r="E49" s="242"/>
      <c r="G49" s="225" t="s">
        <v>164</v>
      </c>
      <c r="H49" s="240"/>
      <c r="I49" s="240"/>
    </row>
    <row r="50">
      <c r="A50" s="241"/>
      <c r="B50" s="209" t="s">
        <v>249</v>
      </c>
      <c r="C50" s="209" t="s">
        <v>319</v>
      </c>
      <c r="D50" s="241"/>
      <c r="E50" s="241"/>
      <c r="G50" s="209" t="s">
        <v>247</v>
      </c>
      <c r="H50" s="241"/>
      <c r="I50" s="209" t="s">
        <v>248</v>
      </c>
    </row>
    <row r="51">
      <c r="A51" s="241"/>
      <c r="B51" s="209" t="s">
        <v>252</v>
      </c>
      <c r="C51" s="209" t="s">
        <v>320</v>
      </c>
      <c r="D51" s="241"/>
      <c r="E51" s="241"/>
      <c r="G51" s="209">
        <v>-10.0</v>
      </c>
      <c r="H51" s="209">
        <v>0.1</v>
      </c>
      <c r="I51" s="209" t="s">
        <v>321</v>
      </c>
    </row>
    <row r="52">
      <c r="A52" s="241"/>
      <c r="B52" s="209" t="s">
        <v>255</v>
      </c>
      <c r="C52" s="209" t="s">
        <v>322</v>
      </c>
      <c r="D52" s="241"/>
      <c r="E52" s="241"/>
      <c r="G52" s="209">
        <v>-9.0</v>
      </c>
      <c r="H52" s="209">
        <v>0.09</v>
      </c>
      <c r="I52" s="209" t="s">
        <v>323</v>
      </c>
    </row>
    <row r="53">
      <c r="A53" s="241"/>
      <c r="B53" s="209" t="s">
        <v>258</v>
      </c>
      <c r="C53" s="209" t="s">
        <v>324</v>
      </c>
      <c r="D53" s="241"/>
      <c r="E53" s="241"/>
      <c r="G53" s="209">
        <v>-8.0</v>
      </c>
      <c r="H53" s="209">
        <v>0.08</v>
      </c>
      <c r="I53" s="209" t="s">
        <v>325</v>
      </c>
    </row>
    <row r="54">
      <c r="A54" s="241"/>
      <c r="B54" s="209" t="s">
        <v>261</v>
      </c>
      <c r="C54" s="209" t="s">
        <v>326</v>
      </c>
      <c r="D54" s="241"/>
      <c r="E54" s="241"/>
      <c r="G54" s="209">
        <v>-7.0</v>
      </c>
      <c r="H54" s="209">
        <v>0.07</v>
      </c>
      <c r="I54" s="209" t="s">
        <v>327</v>
      </c>
    </row>
    <row r="55">
      <c r="A55" s="241"/>
      <c r="B55" s="209" t="s">
        <v>264</v>
      </c>
      <c r="C55" s="209" t="s">
        <v>328</v>
      </c>
      <c r="D55" s="241"/>
      <c r="E55" s="241"/>
      <c r="G55" s="209">
        <v>-6.0</v>
      </c>
      <c r="H55" s="209">
        <v>0.06</v>
      </c>
      <c r="I55" s="209" t="s">
        <v>329</v>
      </c>
    </row>
    <row r="56">
      <c r="A56" s="241"/>
      <c r="B56" s="209" t="s">
        <v>267</v>
      </c>
      <c r="C56" s="209" t="s">
        <v>330</v>
      </c>
      <c r="D56" s="241"/>
      <c r="E56" s="241"/>
      <c r="G56" s="209">
        <v>-5.0</v>
      </c>
      <c r="H56" s="209">
        <v>0.05</v>
      </c>
      <c r="I56" s="209" t="s">
        <v>331</v>
      </c>
    </row>
    <row r="57">
      <c r="A57" s="241"/>
      <c r="B57" s="209" t="s">
        <v>270</v>
      </c>
      <c r="C57" s="209" t="s">
        <v>332</v>
      </c>
      <c r="D57" s="241"/>
      <c r="E57" s="241"/>
      <c r="G57" s="209">
        <v>-4.0</v>
      </c>
      <c r="H57" s="209">
        <v>0.04</v>
      </c>
      <c r="I57" s="209" t="s">
        <v>333</v>
      </c>
    </row>
    <row r="58">
      <c r="A58" s="241"/>
      <c r="B58" s="209" t="s">
        <v>273</v>
      </c>
      <c r="C58" s="209" t="s">
        <v>334</v>
      </c>
      <c r="D58" s="241"/>
      <c r="E58" s="241"/>
      <c r="G58" s="209">
        <v>-3.0</v>
      </c>
      <c r="H58" s="209">
        <v>0.03</v>
      </c>
      <c r="I58" s="209" t="s">
        <v>335</v>
      </c>
    </row>
    <row r="59">
      <c r="A59" s="241"/>
      <c r="B59" s="209" t="s">
        <v>276</v>
      </c>
      <c r="C59" s="209" t="s">
        <v>336</v>
      </c>
      <c r="D59" s="241"/>
      <c r="E59" s="241"/>
      <c r="G59" s="209">
        <v>-2.0</v>
      </c>
      <c r="H59" s="209">
        <v>0.02</v>
      </c>
      <c r="I59" s="209" t="s">
        <v>337</v>
      </c>
    </row>
    <row r="60">
      <c r="B60" s="3"/>
      <c r="C60" s="3"/>
      <c r="G60" s="209">
        <v>-1.0</v>
      </c>
      <c r="H60" s="209">
        <v>0.01</v>
      </c>
      <c r="I60" s="209" t="s">
        <v>338</v>
      </c>
    </row>
    <row r="61">
      <c r="B61" s="3"/>
      <c r="C61" s="3"/>
      <c r="G61" s="209">
        <v>0.0</v>
      </c>
      <c r="H61" s="209">
        <v>0.0</v>
      </c>
      <c r="I61" s="209" t="s">
        <v>339</v>
      </c>
    </row>
    <row r="62">
      <c r="B62" s="3"/>
      <c r="C62" s="3"/>
      <c r="G62" s="209">
        <v>1.0</v>
      </c>
      <c r="H62" s="209">
        <v>-0.01</v>
      </c>
      <c r="I62" s="209" t="s">
        <v>340</v>
      </c>
    </row>
    <row r="63">
      <c r="B63" s="3"/>
      <c r="C63" s="3"/>
      <c r="G63" s="209">
        <v>2.0</v>
      </c>
      <c r="H63" s="209">
        <v>-0.02</v>
      </c>
      <c r="I63" s="209" t="s">
        <v>341</v>
      </c>
    </row>
    <row r="64">
      <c r="B64" s="3"/>
      <c r="C64" s="3"/>
      <c r="G64" s="209">
        <v>3.0</v>
      </c>
      <c r="H64" s="209">
        <v>-0.03</v>
      </c>
      <c r="I64" s="209" t="s">
        <v>342</v>
      </c>
    </row>
    <row r="65">
      <c r="B65" s="3"/>
      <c r="C65" s="3"/>
      <c r="G65" s="209">
        <v>4.0</v>
      </c>
      <c r="H65" s="209">
        <v>-0.04</v>
      </c>
      <c r="I65" s="209" t="s">
        <v>343</v>
      </c>
    </row>
    <row r="66">
      <c r="B66" s="3"/>
      <c r="C66" s="3"/>
      <c r="G66" s="209">
        <v>5.0</v>
      </c>
      <c r="H66" s="209">
        <v>-0.05</v>
      </c>
      <c r="I66" s="209" t="s">
        <v>344</v>
      </c>
    </row>
    <row r="67">
      <c r="B67" s="3"/>
      <c r="C67" s="3"/>
      <c r="G67" s="209">
        <v>6.0</v>
      </c>
      <c r="H67" s="209">
        <v>-0.06</v>
      </c>
      <c r="I67" s="209" t="s">
        <v>345</v>
      </c>
    </row>
    <row r="68">
      <c r="B68" s="3"/>
      <c r="C68" s="3"/>
      <c r="G68" s="209">
        <v>7.0</v>
      </c>
      <c r="H68" s="209">
        <v>-0.07</v>
      </c>
      <c r="I68" s="209" t="s">
        <v>346</v>
      </c>
    </row>
    <row r="69">
      <c r="B69" s="3"/>
      <c r="C69" s="3"/>
      <c r="G69" s="209">
        <v>8.0</v>
      </c>
      <c r="H69" s="209">
        <v>-0.08</v>
      </c>
      <c r="I69" s="209" t="s">
        <v>347</v>
      </c>
    </row>
    <row r="70">
      <c r="G70" s="209">
        <v>9.0</v>
      </c>
      <c r="H70" s="209">
        <v>-0.09</v>
      </c>
      <c r="I70" s="209" t="s">
        <v>348</v>
      </c>
    </row>
    <row r="71">
      <c r="G71" s="209">
        <v>10.0</v>
      </c>
      <c r="H71" s="209">
        <v>-0.1</v>
      </c>
      <c r="I71" s="209" t="s">
        <v>349</v>
      </c>
    </row>
    <row r="72">
      <c r="A72" s="3" t="s">
        <v>57</v>
      </c>
    </row>
    <row r="73">
      <c r="A73" s="238" t="s">
        <v>141</v>
      </c>
      <c r="G73" s="225" t="s">
        <v>164</v>
      </c>
    </row>
    <row r="74">
      <c r="A74" s="3" t="s">
        <v>118</v>
      </c>
      <c r="G74" s="3" t="s">
        <v>118</v>
      </c>
    </row>
    <row r="75">
      <c r="A75" s="3" t="s">
        <v>120</v>
      </c>
      <c r="G75" s="3" t="s">
        <v>120</v>
      </c>
    </row>
    <row r="76">
      <c r="A76" s="3" t="s">
        <v>121</v>
      </c>
      <c r="G76" s="3" t="s">
        <v>350</v>
      </c>
    </row>
    <row r="77">
      <c r="A77" s="3" t="s">
        <v>122</v>
      </c>
      <c r="G77" s="3" t="s">
        <v>122</v>
      </c>
    </row>
    <row r="82">
      <c r="A82" s="3" t="s">
        <v>52</v>
      </c>
    </row>
    <row r="84">
      <c r="A84" s="3" t="s">
        <v>351</v>
      </c>
    </row>
    <row r="85">
      <c r="A85" s="3" t="s">
        <v>352</v>
      </c>
    </row>
    <row r="86">
      <c r="A86" s="209" t="s">
        <v>52</v>
      </c>
      <c r="B86" s="238" t="s">
        <v>141</v>
      </c>
      <c r="C86" s="242"/>
      <c r="D86" s="242"/>
      <c r="E86" s="242"/>
      <c r="G86" s="225" t="s">
        <v>164</v>
      </c>
      <c r="H86" s="240"/>
      <c r="I86" s="240"/>
    </row>
    <row r="87">
      <c r="A87" s="241"/>
      <c r="B87" s="209" t="s">
        <v>249</v>
      </c>
      <c r="C87" s="209" t="s">
        <v>353</v>
      </c>
      <c r="D87" s="241"/>
      <c r="E87" s="241"/>
      <c r="G87" s="209" t="s">
        <v>52</v>
      </c>
      <c r="H87" s="209"/>
      <c r="I87" s="209" t="s">
        <v>248</v>
      </c>
    </row>
    <row r="88">
      <c r="A88" s="241"/>
      <c r="B88" s="209" t="s">
        <v>252</v>
      </c>
      <c r="C88" s="209" t="s">
        <v>354</v>
      </c>
      <c r="D88" s="241"/>
      <c r="E88" s="241"/>
      <c r="G88" s="209">
        <v>-10.0</v>
      </c>
      <c r="H88" s="209">
        <v>-5.0</v>
      </c>
      <c r="I88" s="209" t="s">
        <v>355</v>
      </c>
    </row>
    <row r="89">
      <c r="A89" s="241"/>
      <c r="B89" s="209" t="s">
        <v>255</v>
      </c>
      <c r="C89" s="209" t="s">
        <v>356</v>
      </c>
      <c r="D89" s="241"/>
      <c r="E89" s="241"/>
      <c r="G89" s="209">
        <v>-9.0</v>
      </c>
      <c r="H89" s="209">
        <v>-4.5</v>
      </c>
      <c r="I89" s="209" t="s">
        <v>357</v>
      </c>
    </row>
    <row r="90">
      <c r="A90" s="241"/>
      <c r="B90" s="209" t="s">
        <v>258</v>
      </c>
      <c r="C90" s="209" t="s">
        <v>358</v>
      </c>
      <c r="D90" s="241"/>
      <c r="E90" s="241"/>
      <c r="G90" s="209">
        <v>-8.0</v>
      </c>
      <c r="H90" s="209">
        <v>-4.0</v>
      </c>
      <c r="I90" s="209" t="s">
        <v>359</v>
      </c>
    </row>
    <row r="91">
      <c r="A91" s="241"/>
      <c r="B91" s="209" t="s">
        <v>261</v>
      </c>
      <c r="C91" s="209" t="s">
        <v>360</v>
      </c>
      <c r="D91" s="241"/>
      <c r="E91" s="241"/>
      <c r="G91" s="209">
        <v>-7.0</v>
      </c>
      <c r="H91" s="209">
        <v>-3.5</v>
      </c>
      <c r="I91" s="209" t="s">
        <v>361</v>
      </c>
    </row>
    <row r="92">
      <c r="A92" s="241"/>
      <c r="B92" s="209" t="s">
        <v>264</v>
      </c>
      <c r="C92" s="209" t="s">
        <v>362</v>
      </c>
      <c r="D92" s="241"/>
      <c r="E92" s="241"/>
      <c r="G92" s="209">
        <v>-6.0</v>
      </c>
      <c r="H92" s="209">
        <v>-3.0</v>
      </c>
      <c r="I92" s="209" t="s">
        <v>363</v>
      </c>
    </row>
    <row r="93">
      <c r="A93" s="241"/>
      <c r="B93" s="209" t="s">
        <v>267</v>
      </c>
      <c r="C93" s="209" t="s">
        <v>364</v>
      </c>
      <c r="D93" s="241"/>
      <c r="E93" s="241"/>
      <c r="G93" s="209">
        <v>-5.0</v>
      </c>
      <c r="H93" s="209">
        <v>-2.5</v>
      </c>
      <c r="I93" s="209" t="s">
        <v>365</v>
      </c>
    </row>
    <row r="94">
      <c r="A94" s="241"/>
      <c r="B94" s="209" t="s">
        <v>270</v>
      </c>
      <c r="C94" s="209" t="s">
        <v>366</v>
      </c>
      <c r="D94" s="241"/>
      <c r="E94" s="241"/>
      <c r="G94" s="209">
        <v>-4.0</v>
      </c>
      <c r="H94" s="209">
        <v>-2.0</v>
      </c>
      <c r="I94" s="209" t="s">
        <v>367</v>
      </c>
    </row>
    <row r="95">
      <c r="A95" s="241"/>
      <c r="B95" s="209" t="s">
        <v>273</v>
      </c>
      <c r="C95" s="209" t="s">
        <v>368</v>
      </c>
      <c r="D95" s="241"/>
      <c r="E95" s="241"/>
      <c r="G95" s="209">
        <v>-3.0</v>
      </c>
      <c r="H95" s="209">
        <v>-1.5</v>
      </c>
      <c r="I95" s="209" t="s">
        <v>369</v>
      </c>
    </row>
    <row r="96">
      <c r="A96" s="241"/>
      <c r="B96" s="209" t="s">
        <v>276</v>
      </c>
      <c r="C96" s="209" t="s">
        <v>370</v>
      </c>
      <c r="D96" s="241"/>
      <c r="E96" s="241"/>
      <c r="G96" s="209">
        <v>-2.0</v>
      </c>
      <c r="H96" s="209">
        <v>-1.0</v>
      </c>
      <c r="I96" s="209" t="s">
        <v>371</v>
      </c>
    </row>
    <row r="97">
      <c r="G97" s="209">
        <v>-1.0</v>
      </c>
      <c r="H97" s="209">
        <v>-0.5</v>
      </c>
      <c r="I97" s="209" t="s">
        <v>372</v>
      </c>
    </row>
    <row r="98">
      <c r="G98" s="209">
        <v>0.0</v>
      </c>
      <c r="H98" s="209">
        <v>0.0</v>
      </c>
      <c r="I98" s="209" t="s">
        <v>373</v>
      </c>
    </row>
    <row r="99">
      <c r="G99" s="209">
        <v>1.0</v>
      </c>
      <c r="H99" s="209">
        <v>0.5</v>
      </c>
      <c r="I99" s="209" t="s">
        <v>374</v>
      </c>
    </row>
    <row r="100">
      <c r="G100" s="209">
        <v>2.0</v>
      </c>
      <c r="H100" s="209">
        <v>1.0</v>
      </c>
      <c r="I100" s="209" t="s">
        <v>375</v>
      </c>
    </row>
    <row r="101">
      <c r="G101" s="209">
        <v>3.0</v>
      </c>
      <c r="H101" s="209">
        <v>1.5</v>
      </c>
      <c r="I101" s="209" t="s">
        <v>376</v>
      </c>
    </row>
    <row r="102">
      <c r="G102" s="209">
        <v>4.0</v>
      </c>
      <c r="H102" s="209">
        <v>2.0</v>
      </c>
      <c r="I102" s="209" t="s">
        <v>377</v>
      </c>
    </row>
    <row r="103">
      <c r="G103" s="209">
        <v>5.0</v>
      </c>
      <c r="H103" s="209">
        <v>2.5</v>
      </c>
      <c r="I103" s="209" t="s">
        <v>378</v>
      </c>
    </row>
    <row r="104">
      <c r="G104" s="209">
        <v>6.0</v>
      </c>
      <c r="H104" s="209">
        <v>3.0</v>
      </c>
      <c r="I104" s="209" t="s">
        <v>379</v>
      </c>
    </row>
    <row r="105">
      <c r="G105" s="209">
        <v>7.0</v>
      </c>
      <c r="H105" s="209">
        <v>3.5</v>
      </c>
      <c r="I105" s="209" t="s">
        <v>380</v>
      </c>
    </row>
    <row r="106">
      <c r="G106" s="209">
        <v>8.0</v>
      </c>
      <c r="H106" s="209">
        <v>4.0</v>
      </c>
      <c r="I106" s="209" t="s">
        <v>381</v>
      </c>
    </row>
    <row r="107">
      <c r="G107" s="209">
        <v>9.0</v>
      </c>
      <c r="H107" s="209">
        <v>4.5</v>
      </c>
      <c r="I107" s="209" t="s">
        <v>382</v>
      </c>
    </row>
    <row r="108">
      <c r="G108" s="209">
        <v>10.0</v>
      </c>
      <c r="H108" s="209">
        <v>5.0</v>
      </c>
      <c r="I108" s="209" t="s">
        <v>383</v>
      </c>
    </row>
  </sheetData>
  <drawing r:id="rId1"/>
</worksheet>
</file>