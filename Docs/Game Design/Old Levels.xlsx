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Leveling Metrics" sheetId="1" r:id="rId5"/>
    <sheet state="visible" name="Copy of Mode Level-Up Metrics" sheetId="2" r:id="rId6"/>
    <sheet state="visible" name="Copy of Club Leveling Metric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前か作成されたやつの3倍に変更</t>
      </text>
    </comment>
  </commentList>
</comments>
</file>

<file path=xl/sharedStrings.xml><?xml version="1.0" encoding="utf-8"?>
<sst xmlns="http://schemas.openxmlformats.org/spreadsheetml/2006/main" count="88" uniqueCount="56">
  <si>
    <t>Level</t>
  </si>
  <si>
    <t>RP Required</t>
  </si>
  <si>
    <t>Skill Point</t>
  </si>
  <si>
    <t>Reward Points Total</t>
  </si>
  <si>
    <t>Skill Point Total</t>
  </si>
  <si>
    <t>Time To Level Minutes</t>
  </si>
  <si>
    <t>Time To Level Hours</t>
  </si>
  <si>
    <t>Total Leveling Time Minutes</t>
  </si>
  <si>
    <t>Total Leveling Time Hours</t>
  </si>
  <si>
    <t>Mode</t>
  </si>
  <si>
    <t>Reward Points Per Hour</t>
  </si>
  <si>
    <t>Leveling Statistics</t>
  </si>
  <si>
    <t>Reward Points Per 3 Star Hole</t>
  </si>
  <si>
    <t>Reward Points Per Mission</t>
  </si>
  <si>
    <t>Reward Points  Per Hole</t>
  </si>
  <si>
    <t>Expected Time Per Hole (Minutes)</t>
  </si>
  <si>
    <t>Games Per Hour</t>
  </si>
  <si>
    <t>Story Mode</t>
  </si>
  <si>
    <t>.= 35 * 30</t>
  </si>
  <si>
    <t>Battle Mode</t>
  </si>
  <si>
    <t>Reward Points  Per Win</t>
  </si>
  <si>
    <t>Reward Points Per Loss</t>
  </si>
  <si>
    <t>Expected Time Per Battle (Minutes)</t>
  </si>
  <si>
    <t>Tournament Mode</t>
  </si>
  <si>
    <t>.= 100 * 15</t>
  </si>
  <si>
    <t>Game Mode Type</t>
  </si>
  <si>
    <t>Boost Active (*2)</t>
  </si>
  <si>
    <t>Win</t>
  </si>
  <si>
    <t>Top 10</t>
  </si>
  <si>
    <t xml:space="preserve"> Top 100</t>
  </si>
  <si>
    <t>Expected Time Per Tournament (Minutes)</t>
  </si>
  <si>
    <t>.= 5000 * 1</t>
  </si>
  <si>
    <t>This is assuming a player plays the whole weekend for the tournament</t>
  </si>
  <si>
    <t>STORY MODE</t>
  </si>
  <si>
    <t>EXP Per Stage Clear</t>
  </si>
  <si>
    <t>EXP Booster:</t>
  </si>
  <si>
    <t>Inactive</t>
  </si>
  <si>
    <t>EXP Per Challenge</t>
  </si>
  <si>
    <t>Number of Stages:</t>
  </si>
  <si>
    <t>Max EXP Per Stage</t>
  </si>
  <si>
    <t>Max EXP From Story Mode</t>
  </si>
  <si>
    <t>TOURNAMENT MODE</t>
  </si>
  <si>
    <t>EXP Earned</t>
  </si>
  <si>
    <t xml:space="preserve">Placement: </t>
  </si>
  <si>
    <t>1st Place</t>
  </si>
  <si>
    <t>BATTLE/PARTY MODE</t>
  </si>
  <si>
    <t>Match Results:</t>
  </si>
  <si>
    <t xml:space="preserve">  </t>
  </si>
  <si>
    <t>EXP Total</t>
  </si>
  <si>
    <t>EXP Per Hour</t>
  </si>
  <si>
    <t>EXP Per 3 Star Hole</t>
  </si>
  <si>
    <t>EXP Per Mission</t>
  </si>
  <si>
    <t>EXP Per Hole</t>
  </si>
  <si>
    <t>EXP Per Win</t>
  </si>
  <si>
    <t>EXP Per Loss</t>
  </si>
  <si>
    <t>EXP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</si>
</sst>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3" fontId="1" numFmtId="1" xfId="0" applyAlignment="1" applyFont="1" applyNumberFormat="1">
      <alignment horizontal="center"/>
    </xf>
    <xf borderId="0" fillId="3" fontId="1" numFmtId="2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3" numFmtId="1" xfId="0" applyAlignment="1" applyFont="1" applyNumberFormat="1">
      <alignment horizontal="center"/>
    </xf>
    <xf borderId="0" fillId="3" fontId="2" numFmtId="2" xfId="0" applyAlignment="1" applyFont="1" applyNumberFormat="1">
      <alignment horizontal="center"/>
    </xf>
    <xf borderId="0" fillId="3" fontId="2" numFmtId="1" xfId="0" applyAlignment="1" applyFont="1" applyNumberFormat="1">
      <alignment horizontal="center" vertical="bottom"/>
    </xf>
    <xf borderId="0" fillId="3" fontId="2" numFmtId="2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center" vertical="bottom"/>
    </xf>
    <xf borderId="0" fillId="3" fontId="2" numFmtId="1" xfId="0" applyAlignment="1" applyFont="1" applyNumberFormat="1">
      <alignment horizontal="center"/>
    </xf>
    <xf borderId="4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Font="1"/>
    <xf borderId="0" fillId="0" fontId="2" numFmtId="1" xfId="0" applyFont="1" applyNumberFormat="1"/>
    <xf borderId="0" fillId="0" fontId="2" numFmtId="2" xfId="0" applyFont="1" applyNumberFormat="1"/>
    <xf borderId="4" fillId="0" fontId="4" numFmtId="0" xfId="0" applyAlignment="1" applyBorder="1" applyFont="1">
      <alignment readingOrder="0"/>
    </xf>
    <xf borderId="5" fillId="0" fontId="5" numFmtId="0" xfId="0" applyBorder="1" applyFont="1"/>
    <xf borderId="6" fillId="0" fontId="5" numFmtId="0" xfId="0" applyBorder="1" applyFont="1"/>
    <xf borderId="7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readingOrder="0"/>
    </xf>
    <xf borderId="3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4" numFmtId="0" xfId="0" applyAlignment="1" applyBorder="1" applyFont="1">
      <alignment readingOrder="0"/>
    </xf>
    <xf borderId="9" fillId="0" fontId="5" numFmtId="0" xfId="0" applyBorder="1" applyFont="1"/>
    <xf borderId="1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1" fillId="0" fontId="5" numFmtId="0" xfId="0" applyBorder="1" applyFont="1"/>
    <xf borderId="10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0" fillId="0" fontId="2" numFmtId="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2.38"/>
    <col customWidth="1" min="4" max="4" width="23.38"/>
    <col customWidth="1" min="5" max="5" width="15.63"/>
    <col customWidth="1" min="6" max="6" width="17.5"/>
    <col customWidth="1" min="7" max="7" width="19.63"/>
    <col customWidth="1" min="8" max="8" width="25.38"/>
    <col customWidth="1" min="9" max="9" width="29.88"/>
    <col customWidth="1" min="10" max="10" width="21.5"/>
    <col customWidth="1" min="11" max="11" width="22.13"/>
    <col customWidth="1" min="12" max="12" width="22.75"/>
    <col customWidth="1" min="13" max="13" width="25.13"/>
    <col customWidth="1" min="14" max="14" width="29.0"/>
    <col customWidth="1" min="15" max="15" width="21.13"/>
    <col customWidth="1" min="16" max="16" width="32.75"/>
    <col customWidth="1" min="17" max="17" width="21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7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1" t="s">
        <v>15</v>
      </c>
      <c r="Q1" s="7" t="s">
        <v>16</v>
      </c>
    </row>
    <row r="2">
      <c r="A2" s="9">
        <v>1.0</v>
      </c>
      <c r="B2" s="10">
        <v>0.0</v>
      </c>
      <c r="C2" s="11">
        <v>0.0</v>
      </c>
      <c r="D2" s="12">
        <f t="shared" ref="D2:E2" si="1">B2</f>
        <v>0</v>
      </c>
      <c r="E2" s="12">
        <f t="shared" si="1"/>
        <v>0</v>
      </c>
      <c r="F2" s="13">
        <f t="shared" ref="F2:F101" si="3">B2/if($J$6 = "Story Mode",$K$2, if($J$6 = "Battle Mode" ,$K$3, if($J$6 = "Tournament Mode",$K$4,1 )))*(60)</f>
        <v>0</v>
      </c>
      <c r="G2" s="14">
        <f t="shared" ref="G2:G101" si="4">B2/if($J$6 = "Story Mode",$K$2, if($J$6 = "Battle Mode" ,$K$3, if($J$6 = "Tournament Mode",$K$4,1 )))</f>
        <v>0</v>
      </c>
      <c r="H2" s="15">
        <f t="shared" ref="H2:I2" si="2">F2</f>
        <v>0</v>
      </c>
      <c r="I2" s="16">
        <f t="shared" si="2"/>
        <v>0</v>
      </c>
      <c r="J2" s="17" t="s">
        <v>17</v>
      </c>
      <c r="K2" s="18">
        <f>M2*Q2*if($K$6 = TRUE, 2, 1)</f>
        <v>1050</v>
      </c>
      <c r="L2" s="19" t="s">
        <v>18</v>
      </c>
      <c r="M2" s="20">
        <f>O2+(N2*3)</f>
        <v>35</v>
      </c>
      <c r="N2" s="20">
        <v>5.0</v>
      </c>
      <c r="O2" s="20">
        <v>20.0</v>
      </c>
      <c r="P2" s="20">
        <v>2.0</v>
      </c>
      <c r="Q2" s="21">
        <f>60/P2</f>
        <v>30</v>
      </c>
    </row>
    <row r="3">
      <c r="A3" s="9">
        <v>2.0</v>
      </c>
      <c r="B3" s="10">
        <v>300.0</v>
      </c>
      <c r="C3" s="9">
        <v>1.0</v>
      </c>
      <c r="D3" s="12">
        <f t="shared" ref="D3:D101" si="6">D2+B3</f>
        <v>300</v>
      </c>
      <c r="E3" s="12">
        <f t="shared" ref="E3:E101" si="7">C3+E2</f>
        <v>1</v>
      </c>
      <c r="F3" s="13">
        <f t="shared" si="3"/>
        <v>17.14285714</v>
      </c>
      <c r="G3" s="14">
        <f t="shared" si="4"/>
        <v>0.2857142857</v>
      </c>
      <c r="H3" s="15">
        <f t="shared" ref="H3:I3" si="5">F3+H2</f>
        <v>17.14285714</v>
      </c>
      <c r="I3" s="16">
        <f t="shared" si="5"/>
        <v>0.2857142857</v>
      </c>
      <c r="J3" s="17" t="s">
        <v>19</v>
      </c>
      <c r="K3" s="18">
        <f>M4*Q4*if($K$6 = TRUE, 2, 1)</f>
        <v>1500</v>
      </c>
      <c r="M3" s="22" t="s">
        <v>20</v>
      </c>
      <c r="N3" s="23" t="s">
        <v>21</v>
      </c>
      <c r="O3" s="24"/>
      <c r="P3" s="23" t="s">
        <v>22</v>
      </c>
      <c r="Q3" s="25"/>
    </row>
    <row r="4">
      <c r="A4" s="9">
        <v>3.0</v>
      </c>
      <c r="B4" s="26">
        <v>405.0</v>
      </c>
      <c r="C4" s="9">
        <v>1.0</v>
      </c>
      <c r="D4" s="27">
        <f t="shared" si="6"/>
        <v>705</v>
      </c>
      <c r="E4" s="12">
        <f t="shared" si="7"/>
        <v>2</v>
      </c>
      <c r="F4" s="13">
        <f t="shared" si="3"/>
        <v>23.14285714</v>
      </c>
      <c r="G4" s="14">
        <f t="shared" si="4"/>
        <v>0.3857142857</v>
      </c>
      <c r="H4" s="15">
        <f t="shared" ref="H4:I4" si="8">F4+H3</f>
        <v>40.28571429</v>
      </c>
      <c r="I4" s="16">
        <f t="shared" si="8"/>
        <v>0.6714285714</v>
      </c>
      <c r="J4" s="17" t="s">
        <v>23</v>
      </c>
      <c r="K4" s="18">
        <f>M6*Q6*if($K$6 = TRUE, 2, 1)</f>
        <v>5000</v>
      </c>
      <c r="L4" s="28" t="s">
        <v>24</v>
      </c>
      <c r="M4" s="19">
        <v>100.0</v>
      </c>
      <c r="N4" s="19">
        <v>50.0</v>
      </c>
      <c r="O4" s="29"/>
      <c r="P4" s="19">
        <v>4.0</v>
      </c>
      <c r="Q4" s="21">
        <f>60/P4</f>
        <v>15</v>
      </c>
    </row>
    <row r="5">
      <c r="A5" s="9">
        <v>4.0</v>
      </c>
      <c r="B5" s="10">
        <v>510.0</v>
      </c>
      <c r="C5" s="9">
        <v>1.0</v>
      </c>
      <c r="D5" s="27">
        <f t="shared" si="6"/>
        <v>1215</v>
      </c>
      <c r="E5" s="12">
        <f t="shared" si="7"/>
        <v>3</v>
      </c>
      <c r="F5" s="13">
        <f t="shared" si="3"/>
        <v>29.14285714</v>
      </c>
      <c r="G5" s="14">
        <f t="shared" si="4"/>
        <v>0.4857142857</v>
      </c>
      <c r="H5" s="15">
        <f t="shared" ref="H5:I5" si="9">F5+H4</f>
        <v>69.42857143</v>
      </c>
      <c r="I5" s="16">
        <f t="shared" si="9"/>
        <v>1.157142857</v>
      </c>
      <c r="J5" s="30" t="s">
        <v>25</v>
      </c>
      <c r="K5" s="30" t="s">
        <v>26</v>
      </c>
      <c r="L5" s="31"/>
      <c r="M5" s="23" t="s">
        <v>27</v>
      </c>
      <c r="N5" s="23" t="s">
        <v>28</v>
      </c>
      <c r="O5" s="23" t="s">
        <v>29</v>
      </c>
      <c r="P5" s="23" t="s">
        <v>30</v>
      </c>
      <c r="Q5" s="31"/>
    </row>
    <row r="6">
      <c r="A6" s="9">
        <v>5.0</v>
      </c>
      <c r="B6" s="26">
        <v>615.0</v>
      </c>
      <c r="C6" s="9">
        <v>1.0</v>
      </c>
      <c r="D6" s="27">
        <f t="shared" si="6"/>
        <v>1830</v>
      </c>
      <c r="E6" s="12">
        <f t="shared" si="7"/>
        <v>4</v>
      </c>
      <c r="F6" s="13">
        <f t="shared" si="3"/>
        <v>35.14285714</v>
      </c>
      <c r="G6" s="14">
        <f t="shared" si="4"/>
        <v>0.5857142857</v>
      </c>
      <c r="H6" s="15">
        <f t="shared" ref="H6:I6" si="10">F6+H5</f>
        <v>104.5714286</v>
      </c>
      <c r="I6" s="16">
        <f t="shared" si="10"/>
        <v>1.742857143</v>
      </c>
      <c r="J6" s="17" t="s">
        <v>17</v>
      </c>
      <c r="K6" s="30" t="b">
        <v>0</v>
      </c>
      <c r="L6" s="28" t="s">
        <v>31</v>
      </c>
      <c r="M6" s="19">
        <v>5000.0</v>
      </c>
      <c r="N6" s="19">
        <v>2500.0</v>
      </c>
      <c r="O6" s="19">
        <v>1000.0</v>
      </c>
      <c r="P6" s="19">
        <v>60.0</v>
      </c>
      <c r="Q6" s="32">
        <v>1.0</v>
      </c>
    </row>
    <row r="7">
      <c r="A7" s="9">
        <v>6.0</v>
      </c>
      <c r="B7" s="10">
        <v>720.0</v>
      </c>
      <c r="C7" s="9">
        <v>1.0</v>
      </c>
      <c r="D7" s="27">
        <f t="shared" si="6"/>
        <v>2550</v>
      </c>
      <c r="E7" s="12">
        <f t="shared" si="7"/>
        <v>5</v>
      </c>
      <c r="F7" s="13">
        <f t="shared" si="3"/>
        <v>41.14285714</v>
      </c>
      <c r="G7" s="14">
        <f t="shared" si="4"/>
        <v>0.6857142857</v>
      </c>
      <c r="H7" s="15">
        <f t="shared" ref="H7:I7" si="11">F7+H6</f>
        <v>145.7142857</v>
      </c>
      <c r="I7" s="16">
        <f t="shared" si="11"/>
        <v>2.428571429</v>
      </c>
      <c r="J7" s="31"/>
      <c r="K7" s="31"/>
      <c r="L7" s="31"/>
      <c r="M7" s="31"/>
      <c r="N7" s="31"/>
      <c r="O7" s="31"/>
      <c r="P7" s="30" t="s">
        <v>32</v>
      </c>
      <c r="Q7" s="31"/>
    </row>
    <row r="8">
      <c r="A8" s="9">
        <v>7.0</v>
      </c>
      <c r="B8" s="26">
        <v>825.0</v>
      </c>
      <c r="C8" s="9">
        <v>1.0</v>
      </c>
      <c r="D8" s="27">
        <f t="shared" si="6"/>
        <v>3375</v>
      </c>
      <c r="E8" s="12">
        <f t="shared" si="7"/>
        <v>6</v>
      </c>
      <c r="F8" s="13">
        <f t="shared" si="3"/>
        <v>47.14285714</v>
      </c>
      <c r="G8" s="14">
        <f t="shared" si="4"/>
        <v>0.7857142857</v>
      </c>
      <c r="H8" s="15">
        <f t="shared" ref="H8:I8" si="12">F8+H7</f>
        <v>192.8571429</v>
      </c>
      <c r="I8" s="16">
        <f t="shared" si="12"/>
        <v>3.214285714</v>
      </c>
      <c r="J8" s="31"/>
      <c r="K8" s="31"/>
      <c r="L8" s="31"/>
      <c r="M8" s="31"/>
      <c r="N8" s="31"/>
      <c r="O8" s="31"/>
      <c r="P8" s="31"/>
      <c r="Q8" s="31"/>
    </row>
    <row r="9">
      <c r="A9" s="9">
        <v>8.0</v>
      </c>
      <c r="B9" s="10">
        <v>930.0</v>
      </c>
      <c r="C9" s="9">
        <v>1.0</v>
      </c>
      <c r="D9" s="27">
        <f t="shared" si="6"/>
        <v>4305</v>
      </c>
      <c r="E9" s="12">
        <f t="shared" si="7"/>
        <v>7</v>
      </c>
      <c r="F9" s="13">
        <f t="shared" si="3"/>
        <v>53.14285714</v>
      </c>
      <c r="G9" s="14">
        <f t="shared" si="4"/>
        <v>0.8857142857</v>
      </c>
      <c r="H9" s="15">
        <f t="shared" ref="H9:I9" si="13">F9+H8</f>
        <v>246</v>
      </c>
      <c r="I9" s="16">
        <f t="shared" si="13"/>
        <v>4.1</v>
      </c>
      <c r="J9" s="31"/>
      <c r="K9" s="31"/>
      <c r="L9" s="31"/>
      <c r="M9" s="31"/>
      <c r="N9" s="31"/>
      <c r="O9" s="31"/>
      <c r="P9" s="31"/>
      <c r="Q9" s="31"/>
    </row>
    <row r="10">
      <c r="A10" s="9">
        <v>9.0</v>
      </c>
      <c r="B10" s="26">
        <v>1035.0</v>
      </c>
      <c r="C10" s="9">
        <v>1.0</v>
      </c>
      <c r="D10" s="27">
        <f t="shared" si="6"/>
        <v>5340</v>
      </c>
      <c r="E10" s="12">
        <f t="shared" si="7"/>
        <v>8</v>
      </c>
      <c r="F10" s="13">
        <f t="shared" si="3"/>
        <v>59.14285714</v>
      </c>
      <c r="G10" s="14">
        <f t="shared" si="4"/>
        <v>0.9857142857</v>
      </c>
      <c r="H10" s="15">
        <f t="shared" ref="H10:I10" si="14">F10+H9</f>
        <v>305.1428571</v>
      </c>
      <c r="I10" s="16">
        <f t="shared" si="14"/>
        <v>5.085714286</v>
      </c>
      <c r="J10" s="31"/>
      <c r="K10" s="31"/>
      <c r="L10" s="31"/>
      <c r="M10" s="31"/>
      <c r="N10" s="31"/>
      <c r="O10" s="31"/>
      <c r="P10" s="31"/>
      <c r="Q10" s="31"/>
    </row>
    <row r="11">
      <c r="A11" s="9">
        <v>10.0</v>
      </c>
      <c r="B11" s="10">
        <v>1140.0</v>
      </c>
      <c r="C11" s="9">
        <v>1.0</v>
      </c>
      <c r="D11" s="27">
        <f t="shared" si="6"/>
        <v>6480</v>
      </c>
      <c r="E11" s="12">
        <f t="shared" si="7"/>
        <v>9</v>
      </c>
      <c r="F11" s="13">
        <f t="shared" si="3"/>
        <v>65.14285714</v>
      </c>
      <c r="G11" s="14">
        <f t="shared" si="4"/>
        <v>1.085714286</v>
      </c>
      <c r="H11" s="15">
        <f t="shared" ref="H11:I11" si="15">F11+H10</f>
        <v>370.2857143</v>
      </c>
      <c r="I11" s="16">
        <f t="shared" si="15"/>
        <v>6.171428571</v>
      </c>
      <c r="J11" s="31"/>
      <c r="K11" s="31"/>
      <c r="L11" s="31"/>
      <c r="M11" s="31"/>
      <c r="N11" s="31"/>
      <c r="O11" s="31"/>
      <c r="P11" s="31"/>
      <c r="Q11" s="31"/>
    </row>
    <row r="12">
      <c r="A12" s="9">
        <v>11.0</v>
      </c>
      <c r="B12" s="26">
        <v>1245.0</v>
      </c>
      <c r="C12" s="9">
        <v>1.0</v>
      </c>
      <c r="D12" s="27">
        <f t="shared" si="6"/>
        <v>7725</v>
      </c>
      <c r="E12" s="12">
        <f t="shared" si="7"/>
        <v>10</v>
      </c>
      <c r="F12" s="13">
        <f t="shared" si="3"/>
        <v>71.14285714</v>
      </c>
      <c r="G12" s="14">
        <f t="shared" si="4"/>
        <v>1.185714286</v>
      </c>
      <c r="H12" s="15">
        <f t="shared" ref="H12:I12" si="16">F12+H11</f>
        <v>441.4285714</v>
      </c>
      <c r="I12" s="16">
        <f t="shared" si="16"/>
        <v>7.357142857</v>
      </c>
      <c r="J12" s="31"/>
      <c r="K12" s="31"/>
      <c r="L12" s="31"/>
      <c r="M12" s="31"/>
      <c r="N12" s="31"/>
      <c r="O12" s="31"/>
      <c r="P12" s="31"/>
      <c r="Q12" s="31"/>
    </row>
    <row r="13">
      <c r="A13" s="9">
        <v>12.0</v>
      </c>
      <c r="B13" s="10">
        <v>1350.0</v>
      </c>
      <c r="C13" s="9">
        <v>1.0</v>
      </c>
      <c r="D13" s="27">
        <f t="shared" si="6"/>
        <v>9075</v>
      </c>
      <c r="E13" s="12">
        <f t="shared" si="7"/>
        <v>11</v>
      </c>
      <c r="F13" s="13">
        <f t="shared" si="3"/>
        <v>77.14285714</v>
      </c>
      <c r="G13" s="14">
        <f t="shared" si="4"/>
        <v>1.285714286</v>
      </c>
      <c r="H13" s="15">
        <f t="shared" ref="H13:I13" si="17">F13+H12</f>
        <v>518.5714286</v>
      </c>
      <c r="I13" s="16">
        <f t="shared" si="17"/>
        <v>8.642857143</v>
      </c>
      <c r="J13" s="31"/>
      <c r="K13" s="31"/>
      <c r="L13" s="31"/>
      <c r="M13" s="31"/>
      <c r="N13" s="31"/>
      <c r="O13" s="31"/>
      <c r="P13" s="31"/>
      <c r="Q13" s="31"/>
    </row>
    <row r="14">
      <c r="A14" s="9">
        <v>13.0</v>
      </c>
      <c r="B14" s="26">
        <v>1455.0</v>
      </c>
      <c r="C14" s="9">
        <v>1.0</v>
      </c>
      <c r="D14" s="27">
        <f t="shared" si="6"/>
        <v>10530</v>
      </c>
      <c r="E14" s="12">
        <f t="shared" si="7"/>
        <v>12</v>
      </c>
      <c r="F14" s="13">
        <f t="shared" si="3"/>
        <v>83.14285714</v>
      </c>
      <c r="G14" s="14">
        <f t="shared" si="4"/>
        <v>1.385714286</v>
      </c>
      <c r="H14" s="15">
        <f t="shared" ref="H14:I14" si="18">F14+H13</f>
        <v>601.7142857</v>
      </c>
      <c r="I14" s="16">
        <f t="shared" si="18"/>
        <v>10.02857143</v>
      </c>
      <c r="J14" s="31"/>
      <c r="K14" s="31"/>
      <c r="L14" s="31"/>
      <c r="M14" s="31"/>
      <c r="N14" s="31"/>
      <c r="O14" s="31"/>
      <c r="P14" s="31"/>
      <c r="Q14" s="31"/>
    </row>
    <row r="15">
      <c r="A15" s="9">
        <v>14.0</v>
      </c>
      <c r="B15" s="10">
        <v>1560.0</v>
      </c>
      <c r="C15" s="9">
        <v>1.0</v>
      </c>
      <c r="D15" s="27">
        <f t="shared" si="6"/>
        <v>12090</v>
      </c>
      <c r="E15" s="12">
        <f t="shared" si="7"/>
        <v>13</v>
      </c>
      <c r="F15" s="13">
        <f t="shared" si="3"/>
        <v>89.14285714</v>
      </c>
      <c r="G15" s="14">
        <f t="shared" si="4"/>
        <v>1.485714286</v>
      </c>
      <c r="H15" s="15">
        <f t="shared" ref="H15:I15" si="19">F15+H14</f>
        <v>690.8571429</v>
      </c>
      <c r="I15" s="16">
        <f t="shared" si="19"/>
        <v>11.51428571</v>
      </c>
      <c r="J15" s="31"/>
      <c r="K15" s="31"/>
      <c r="L15" s="31"/>
      <c r="M15" s="31"/>
      <c r="N15" s="31"/>
      <c r="O15" s="31"/>
      <c r="P15" s="31"/>
      <c r="Q15" s="31"/>
    </row>
    <row r="16">
      <c r="A16" s="9">
        <v>15.0</v>
      </c>
      <c r="B16" s="26">
        <v>1665.0</v>
      </c>
      <c r="C16" s="9">
        <v>1.0</v>
      </c>
      <c r="D16" s="27">
        <f t="shared" si="6"/>
        <v>13755</v>
      </c>
      <c r="E16" s="12">
        <f t="shared" si="7"/>
        <v>14</v>
      </c>
      <c r="F16" s="13">
        <f t="shared" si="3"/>
        <v>95.14285714</v>
      </c>
      <c r="G16" s="14">
        <f t="shared" si="4"/>
        <v>1.585714286</v>
      </c>
      <c r="H16" s="15">
        <f t="shared" ref="H16:I16" si="20">F16+H15</f>
        <v>786</v>
      </c>
      <c r="I16" s="16">
        <f t="shared" si="20"/>
        <v>13.1</v>
      </c>
      <c r="J16" s="31"/>
      <c r="K16" s="31"/>
      <c r="L16" s="31"/>
      <c r="M16" s="31"/>
      <c r="N16" s="31"/>
      <c r="O16" s="31"/>
      <c r="P16" s="31"/>
      <c r="Q16" s="31"/>
    </row>
    <row r="17">
      <c r="A17" s="9">
        <v>16.0</v>
      </c>
      <c r="B17" s="10">
        <v>1770.0</v>
      </c>
      <c r="C17" s="9">
        <v>1.0</v>
      </c>
      <c r="D17" s="27">
        <f t="shared" si="6"/>
        <v>15525</v>
      </c>
      <c r="E17" s="12">
        <f t="shared" si="7"/>
        <v>15</v>
      </c>
      <c r="F17" s="13">
        <f t="shared" si="3"/>
        <v>101.1428571</v>
      </c>
      <c r="G17" s="14">
        <f t="shared" si="4"/>
        <v>1.685714286</v>
      </c>
      <c r="H17" s="15">
        <f t="shared" ref="H17:I17" si="21">F17+H16</f>
        <v>887.1428571</v>
      </c>
      <c r="I17" s="16">
        <f t="shared" si="21"/>
        <v>14.78571429</v>
      </c>
      <c r="J17" s="31"/>
      <c r="K17" s="31"/>
      <c r="L17" s="31"/>
      <c r="M17" s="31"/>
      <c r="N17" s="31"/>
      <c r="O17" s="31"/>
      <c r="P17" s="31"/>
      <c r="Q17" s="31"/>
    </row>
    <row r="18">
      <c r="A18" s="9">
        <v>17.0</v>
      </c>
      <c r="B18" s="26">
        <v>1875.0</v>
      </c>
      <c r="C18" s="9">
        <v>1.0</v>
      </c>
      <c r="D18" s="27">
        <f t="shared" si="6"/>
        <v>17400</v>
      </c>
      <c r="E18" s="12">
        <f t="shared" si="7"/>
        <v>16</v>
      </c>
      <c r="F18" s="13">
        <f t="shared" si="3"/>
        <v>107.1428571</v>
      </c>
      <c r="G18" s="14">
        <f t="shared" si="4"/>
        <v>1.785714286</v>
      </c>
      <c r="H18" s="15">
        <f t="shared" ref="H18:I18" si="22">F18+H17</f>
        <v>994.2857143</v>
      </c>
      <c r="I18" s="16">
        <f t="shared" si="22"/>
        <v>16.57142857</v>
      </c>
      <c r="J18" s="31"/>
      <c r="K18" s="31"/>
      <c r="L18" s="31"/>
      <c r="M18" s="31"/>
      <c r="N18" s="10"/>
      <c r="O18" s="31"/>
      <c r="P18" s="31"/>
      <c r="Q18" s="31"/>
    </row>
    <row r="19">
      <c r="A19" s="9">
        <v>18.0</v>
      </c>
      <c r="B19" s="10">
        <v>1980.0</v>
      </c>
      <c r="C19" s="9">
        <v>1.0</v>
      </c>
      <c r="D19" s="27">
        <f t="shared" si="6"/>
        <v>19380</v>
      </c>
      <c r="E19" s="12">
        <f t="shared" si="7"/>
        <v>17</v>
      </c>
      <c r="F19" s="13">
        <f t="shared" si="3"/>
        <v>113.1428571</v>
      </c>
      <c r="G19" s="14">
        <f t="shared" si="4"/>
        <v>1.885714286</v>
      </c>
      <c r="H19" s="15">
        <f t="shared" ref="H19:I19" si="23">F19+H18</f>
        <v>1107.428571</v>
      </c>
      <c r="I19" s="16">
        <f t="shared" si="23"/>
        <v>18.45714286</v>
      </c>
      <c r="J19" s="31"/>
      <c r="K19" s="31"/>
      <c r="L19" s="31"/>
      <c r="M19" s="31"/>
      <c r="N19" s="31"/>
      <c r="O19" s="31"/>
      <c r="P19" s="31"/>
      <c r="Q19" s="31"/>
    </row>
    <row r="20">
      <c r="A20" s="9">
        <v>19.0</v>
      </c>
      <c r="B20" s="26">
        <v>2085.0</v>
      </c>
      <c r="C20" s="9">
        <v>1.0</v>
      </c>
      <c r="D20" s="27">
        <f t="shared" si="6"/>
        <v>21465</v>
      </c>
      <c r="E20" s="12">
        <f t="shared" si="7"/>
        <v>18</v>
      </c>
      <c r="F20" s="13">
        <f t="shared" si="3"/>
        <v>119.1428571</v>
      </c>
      <c r="G20" s="14">
        <f t="shared" si="4"/>
        <v>1.985714286</v>
      </c>
      <c r="H20" s="15">
        <f t="shared" ref="H20:I20" si="24">F20+H19</f>
        <v>1226.571429</v>
      </c>
      <c r="I20" s="16">
        <f t="shared" si="24"/>
        <v>20.44285714</v>
      </c>
      <c r="J20" s="31"/>
      <c r="K20" s="31"/>
      <c r="L20" s="31"/>
      <c r="M20" s="31"/>
      <c r="N20" s="31"/>
      <c r="O20" s="31"/>
      <c r="P20" s="31"/>
      <c r="Q20" s="31"/>
    </row>
    <row r="21">
      <c r="A21" s="9">
        <v>20.0</v>
      </c>
      <c r="B21" s="10">
        <v>2190.0</v>
      </c>
      <c r="C21" s="9">
        <v>1.0</v>
      </c>
      <c r="D21" s="27">
        <f t="shared" si="6"/>
        <v>23655</v>
      </c>
      <c r="E21" s="12">
        <f t="shared" si="7"/>
        <v>19</v>
      </c>
      <c r="F21" s="13">
        <f t="shared" si="3"/>
        <v>125.1428571</v>
      </c>
      <c r="G21" s="14">
        <f t="shared" si="4"/>
        <v>2.085714286</v>
      </c>
      <c r="H21" s="15">
        <f t="shared" ref="H21:I21" si="25">F21+H20</f>
        <v>1351.714286</v>
      </c>
      <c r="I21" s="16">
        <f t="shared" si="25"/>
        <v>22.52857143</v>
      </c>
      <c r="J21" s="31"/>
      <c r="K21" s="31"/>
      <c r="L21" s="31"/>
      <c r="M21" s="31"/>
      <c r="N21" s="31"/>
      <c r="O21" s="31"/>
      <c r="P21" s="31"/>
      <c r="Q21" s="31"/>
    </row>
    <row r="22">
      <c r="A22" s="9">
        <v>21.0</v>
      </c>
      <c r="B22" s="26">
        <v>2295.0</v>
      </c>
      <c r="C22" s="9">
        <v>1.0</v>
      </c>
      <c r="D22" s="27">
        <f t="shared" si="6"/>
        <v>25950</v>
      </c>
      <c r="E22" s="12">
        <f t="shared" si="7"/>
        <v>20</v>
      </c>
      <c r="F22" s="13">
        <f t="shared" si="3"/>
        <v>131.1428571</v>
      </c>
      <c r="G22" s="14">
        <f t="shared" si="4"/>
        <v>2.185714286</v>
      </c>
      <c r="H22" s="15">
        <f t="shared" ref="H22:I22" si="26">F22+H21</f>
        <v>1482.857143</v>
      </c>
      <c r="I22" s="16">
        <f t="shared" si="26"/>
        <v>24.71428571</v>
      </c>
      <c r="J22" s="31"/>
      <c r="K22" s="31"/>
      <c r="L22" s="31"/>
      <c r="M22" s="31"/>
      <c r="N22" s="31"/>
      <c r="O22" s="31"/>
      <c r="P22" s="31"/>
      <c r="Q22" s="31"/>
    </row>
    <row r="23">
      <c r="A23" s="9">
        <v>22.0</v>
      </c>
      <c r="B23" s="10">
        <v>2400.0</v>
      </c>
      <c r="C23" s="9">
        <v>1.0</v>
      </c>
      <c r="D23" s="27">
        <f t="shared" si="6"/>
        <v>28350</v>
      </c>
      <c r="E23" s="12">
        <f t="shared" si="7"/>
        <v>21</v>
      </c>
      <c r="F23" s="13">
        <f t="shared" si="3"/>
        <v>137.1428571</v>
      </c>
      <c r="G23" s="14">
        <f t="shared" si="4"/>
        <v>2.285714286</v>
      </c>
      <c r="H23" s="15">
        <f t="shared" ref="H23:I23" si="27">F23+H22</f>
        <v>1620</v>
      </c>
      <c r="I23" s="16">
        <f t="shared" si="27"/>
        <v>27</v>
      </c>
      <c r="J23" s="31"/>
      <c r="K23" s="31"/>
      <c r="L23" s="31"/>
      <c r="M23" s="31"/>
      <c r="N23" s="31"/>
      <c r="O23" s="31"/>
      <c r="P23" s="31"/>
      <c r="Q23" s="31"/>
    </row>
    <row r="24">
      <c r="A24" s="9">
        <v>23.0</v>
      </c>
      <c r="B24" s="26">
        <v>2505.0</v>
      </c>
      <c r="C24" s="9">
        <v>1.0</v>
      </c>
      <c r="D24" s="27">
        <f t="shared" si="6"/>
        <v>30855</v>
      </c>
      <c r="E24" s="12">
        <f t="shared" si="7"/>
        <v>22</v>
      </c>
      <c r="F24" s="13">
        <f t="shared" si="3"/>
        <v>143.1428571</v>
      </c>
      <c r="G24" s="14">
        <f t="shared" si="4"/>
        <v>2.385714286</v>
      </c>
      <c r="H24" s="15">
        <f t="shared" ref="H24:I24" si="28">F24+H23</f>
        <v>1763.142857</v>
      </c>
      <c r="I24" s="16">
        <f t="shared" si="28"/>
        <v>29.38571429</v>
      </c>
      <c r="J24" s="31"/>
      <c r="K24" s="31"/>
      <c r="L24" s="31"/>
      <c r="M24" s="31"/>
      <c r="N24" s="31"/>
      <c r="O24" s="31"/>
      <c r="P24" s="31"/>
      <c r="Q24" s="31"/>
    </row>
    <row r="25">
      <c r="A25" s="9">
        <v>24.0</v>
      </c>
      <c r="B25" s="10">
        <v>2610.0</v>
      </c>
      <c r="C25" s="9">
        <v>1.0</v>
      </c>
      <c r="D25" s="27">
        <f t="shared" si="6"/>
        <v>33465</v>
      </c>
      <c r="E25" s="12">
        <f t="shared" si="7"/>
        <v>23</v>
      </c>
      <c r="F25" s="13">
        <f t="shared" si="3"/>
        <v>149.1428571</v>
      </c>
      <c r="G25" s="14">
        <f t="shared" si="4"/>
        <v>2.485714286</v>
      </c>
      <c r="H25" s="15">
        <f t="shared" ref="H25:I25" si="29">F25+H24</f>
        <v>1912.285714</v>
      </c>
      <c r="I25" s="16">
        <f t="shared" si="29"/>
        <v>31.87142857</v>
      </c>
      <c r="J25" s="31"/>
      <c r="K25" s="31"/>
      <c r="L25" s="31"/>
      <c r="M25" s="31"/>
      <c r="N25" s="31"/>
      <c r="O25" s="31"/>
      <c r="P25" s="31"/>
      <c r="Q25" s="31"/>
    </row>
    <row r="26">
      <c r="A26" s="9">
        <v>25.0</v>
      </c>
      <c r="B26" s="26">
        <v>2715.0</v>
      </c>
      <c r="C26" s="9">
        <v>1.0</v>
      </c>
      <c r="D26" s="27">
        <f t="shared" si="6"/>
        <v>36180</v>
      </c>
      <c r="E26" s="12">
        <f t="shared" si="7"/>
        <v>24</v>
      </c>
      <c r="F26" s="13">
        <f t="shared" si="3"/>
        <v>155.1428571</v>
      </c>
      <c r="G26" s="14">
        <f t="shared" si="4"/>
        <v>2.585714286</v>
      </c>
      <c r="H26" s="15">
        <f t="shared" ref="H26:I26" si="30">F26+H25</f>
        <v>2067.428571</v>
      </c>
      <c r="I26" s="16">
        <f t="shared" si="30"/>
        <v>34.45714286</v>
      </c>
      <c r="J26" s="31"/>
      <c r="K26" s="31"/>
      <c r="L26" s="31"/>
      <c r="M26" s="31"/>
      <c r="N26" s="31"/>
      <c r="O26" s="31"/>
      <c r="P26" s="31"/>
      <c r="Q26" s="31"/>
    </row>
    <row r="27">
      <c r="A27" s="9">
        <v>26.0</v>
      </c>
      <c r="B27" s="10">
        <v>2820.0</v>
      </c>
      <c r="C27" s="11">
        <v>2.0</v>
      </c>
      <c r="D27" s="27">
        <f t="shared" si="6"/>
        <v>39000</v>
      </c>
      <c r="E27" s="12">
        <f t="shared" si="7"/>
        <v>26</v>
      </c>
      <c r="F27" s="13">
        <f t="shared" si="3"/>
        <v>161.1428571</v>
      </c>
      <c r="G27" s="14">
        <f t="shared" si="4"/>
        <v>2.685714286</v>
      </c>
      <c r="H27" s="15">
        <f t="shared" ref="H27:I27" si="31">F27+H26</f>
        <v>2228.571429</v>
      </c>
      <c r="I27" s="16">
        <f t="shared" si="31"/>
        <v>37.14285714</v>
      </c>
      <c r="J27" s="31"/>
      <c r="K27" s="31"/>
      <c r="L27" s="31"/>
      <c r="M27" s="31"/>
      <c r="N27" s="31"/>
      <c r="O27" s="31"/>
      <c r="P27" s="31"/>
      <c r="Q27" s="31"/>
    </row>
    <row r="28">
      <c r="A28" s="9">
        <v>27.0</v>
      </c>
      <c r="B28" s="33">
        <v>3600.0</v>
      </c>
      <c r="C28" s="11">
        <v>2.0</v>
      </c>
      <c r="D28" s="27">
        <f t="shared" si="6"/>
        <v>42600</v>
      </c>
      <c r="E28" s="12">
        <f t="shared" si="7"/>
        <v>28</v>
      </c>
      <c r="F28" s="13">
        <f t="shared" si="3"/>
        <v>205.7142857</v>
      </c>
      <c r="G28" s="14">
        <f t="shared" si="4"/>
        <v>3.428571429</v>
      </c>
      <c r="H28" s="15">
        <f t="shared" ref="H28:I28" si="32">F28+H27</f>
        <v>2434.285714</v>
      </c>
      <c r="I28" s="16">
        <f t="shared" si="32"/>
        <v>40.57142857</v>
      </c>
      <c r="J28" s="31"/>
      <c r="K28" s="31"/>
      <c r="L28" s="31"/>
      <c r="M28" s="31"/>
      <c r="N28" s="31"/>
      <c r="O28" s="31"/>
      <c r="P28" s="31"/>
      <c r="Q28" s="31"/>
    </row>
    <row r="29">
      <c r="A29" s="9">
        <v>28.0</v>
      </c>
      <c r="B29" s="33">
        <v>3600.0</v>
      </c>
      <c r="C29" s="11">
        <v>2.0</v>
      </c>
      <c r="D29" s="27">
        <f t="shared" si="6"/>
        <v>46200</v>
      </c>
      <c r="E29" s="12">
        <f t="shared" si="7"/>
        <v>30</v>
      </c>
      <c r="F29" s="13">
        <f t="shared" si="3"/>
        <v>205.7142857</v>
      </c>
      <c r="G29" s="14">
        <f t="shared" si="4"/>
        <v>3.428571429</v>
      </c>
      <c r="H29" s="15">
        <f t="shared" ref="H29:I29" si="33">F29+H28</f>
        <v>2640</v>
      </c>
      <c r="I29" s="16">
        <f t="shared" si="33"/>
        <v>44</v>
      </c>
      <c r="J29" s="31"/>
      <c r="K29" s="31"/>
      <c r="L29" s="31"/>
      <c r="M29" s="31"/>
      <c r="N29" s="31"/>
      <c r="O29" s="31"/>
      <c r="P29" s="31"/>
      <c r="Q29" s="31"/>
    </row>
    <row r="30">
      <c r="A30" s="9">
        <v>29.0</v>
      </c>
      <c r="B30" s="33">
        <v>3600.0</v>
      </c>
      <c r="C30" s="11">
        <v>2.0</v>
      </c>
      <c r="D30" s="27">
        <f t="shared" si="6"/>
        <v>49800</v>
      </c>
      <c r="E30" s="12">
        <f t="shared" si="7"/>
        <v>32</v>
      </c>
      <c r="F30" s="13">
        <f t="shared" si="3"/>
        <v>205.7142857</v>
      </c>
      <c r="G30" s="14">
        <f t="shared" si="4"/>
        <v>3.428571429</v>
      </c>
      <c r="H30" s="15">
        <f t="shared" ref="H30:I30" si="34">F30+H29</f>
        <v>2845.714286</v>
      </c>
      <c r="I30" s="16">
        <f t="shared" si="34"/>
        <v>47.42857143</v>
      </c>
      <c r="J30" s="31"/>
      <c r="K30" s="31"/>
      <c r="L30" s="31"/>
      <c r="M30" s="31"/>
      <c r="N30" s="31"/>
      <c r="O30" s="31"/>
      <c r="P30" s="31"/>
      <c r="Q30" s="31"/>
    </row>
    <row r="31">
      <c r="A31" s="9">
        <v>30.0</v>
      </c>
      <c r="B31" s="33">
        <v>3600.0</v>
      </c>
      <c r="C31" s="11">
        <v>2.0</v>
      </c>
      <c r="D31" s="27">
        <f t="shared" si="6"/>
        <v>53400</v>
      </c>
      <c r="E31" s="12">
        <f t="shared" si="7"/>
        <v>34</v>
      </c>
      <c r="F31" s="13">
        <f t="shared" si="3"/>
        <v>205.7142857</v>
      </c>
      <c r="G31" s="14">
        <f t="shared" si="4"/>
        <v>3.428571429</v>
      </c>
      <c r="H31" s="15">
        <f t="shared" ref="H31:I31" si="35">F31+H30</f>
        <v>3051.428571</v>
      </c>
      <c r="I31" s="16">
        <f t="shared" si="35"/>
        <v>50.85714286</v>
      </c>
      <c r="J31" s="31"/>
      <c r="K31" s="31"/>
      <c r="L31" s="31"/>
      <c r="M31" s="31"/>
      <c r="N31" s="31"/>
      <c r="O31" s="31"/>
      <c r="P31" s="31"/>
      <c r="Q31" s="31"/>
    </row>
    <row r="32">
      <c r="A32" s="9">
        <v>31.0</v>
      </c>
      <c r="B32" s="33">
        <v>3600.0</v>
      </c>
      <c r="C32" s="11">
        <v>2.0</v>
      </c>
      <c r="D32" s="27">
        <f t="shared" si="6"/>
        <v>57000</v>
      </c>
      <c r="E32" s="12">
        <f t="shared" si="7"/>
        <v>36</v>
      </c>
      <c r="F32" s="13">
        <f t="shared" si="3"/>
        <v>205.7142857</v>
      </c>
      <c r="G32" s="14">
        <f t="shared" si="4"/>
        <v>3.428571429</v>
      </c>
      <c r="H32" s="15">
        <f t="shared" ref="H32:I32" si="36">F32+H31</f>
        <v>3257.142857</v>
      </c>
      <c r="I32" s="16">
        <f t="shared" si="36"/>
        <v>54.28571429</v>
      </c>
      <c r="J32" s="31"/>
      <c r="K32" s="31"/>
      <c r="L32" s="31"/>
      <c r="M32" s="31"/>
      <c r="N32" s="31"/>
      <c r="O32" s="31"/>
      <c r="P32" s="31"/>
      <c r="Q32" s="31"/>
    </row>
    <row r="33">
      <c r="A33" s="9">
        <v>32.0</v>
      </c>
      <c r="B33" s="33">
        <v>3600.0</v>
      </c>
      <c r="C33" s="11">
        <v>2.0</v>
      </c>
      <c r="D33" s="27">
        <f t="shared" si="6"/>
        <v>60600</v>
      </c>
      <c r="E33" s="12">
        <f t="shared" si="7"/>
        <v>38</v>
      </c>
      <c r="F33" s="13">
        <f t="shared" si="3"/>
        <v>205.7142857</v>
      </c>
      <c r="G33" s="14">
        <f t="shared" si="4"/>
        <v>3.428571429</v>
      </c>
      <c r="H33" s="15">
        <f t="shared" ref="H33:I33" si="37">F33+H32</f>
        <v>3462.857143</v>
      </c>
      <c r="I33" s="16">
        <f t="shared" si="37"/>
        <v>57.71428571</v>
      </c>
      <c r="J33" s="31"/>
      <c r="K33" s="31"/>
      <c r="L33" s="31"/>
      <c r="M33" s="31"/>
      <c r="N33" s="31"/>
      <c r="O33" s="31"/>
      <c r="P33" s="31"/>
      <c r="Q33" s="31"/>
    </row>
    <row r="34">
      <c r="A34" s="9">
        <v>33.0</v>
      </c>
      <c r="B34" s="33">
        <v>3600.0</v>
      </c>
      <c r="C34" s="11">
        <v>2.0</v>
      </c>
      <c r="D34" s="27">
        <f t="shared" si="6"/>
        <v>64200</v>
      </c>
      <c r="E34" s="12">
        <f t="shared" si="7"/>
        <v>40</v>
      </c>
      <c r="F34" s="13">
        <f t="shared" si="3"/>
        <v>205.7142857</v>
      </c>
      <c r="G34" s="14">
        <f t="shared" si="4"/>
        <v>3.428571429</v>
      </c>
      <c r="H34" s="15">
        <f t="shared" ref="H34:I34" si="38">F34+H33</f>
        <v>3668.571429</v>
      </c>
      <c r="I34" s="16">
        <f t="shared" si="38"/>
        <v>61.14285714</v>
      </c>
      <c r="J34" s="31"/>
      <c r="K34" s="31"/>
      <c r="L34" s="31"/>
      <c r="M34" s="31"/>
      <c r="N34" s="31"/>
      <c r="O34" s="31"/>
      <c r="P34" s="31"/>
      <c r="Q34" s="31"/>
    </row>
    <row r="35">
      <c r="A35" s="9">
        <v>34.0</v>
      </c>
      <c r="B35" s="33">
        <v>3600.0</v>
      </c>
      <c r="C35" s="11">
        <v>2.0</v>
      </c>
      <c r="D35" s="27">
        <f t="shared" si="6"/>
        <v>67800</v>
      </c>
      <c r="E35" s="12">
        <f t="shared" si="7"/>
        <v>42</v>
      </c>
      <c r="F35" s="13">
        <f t="shared" si="3"/>
        <v>205.7142857</v>
      </c>
      <c r="G35" s="14">
        <f t="shared" si="4"/>
        <v>3.428571429</v>
      </c>
      <c r="H35" s="15">
        <f t="shared" ref="H35:I35" si="39">F35+H34</f>
        <v>3874.285714</v>
      </c>
      <c r="I35" s="16">
        <f t="shared" si="39"/>
        <v>64.57142857</v>
      </c>
      <c r="J35" s="31"/>
      <c r="K35" s="31"/>
      <c r="L35" s="31"/>
      <c r="M35" s="31"/>
      <c r="N35" s="31"/>
      <c r="O35" s="31"/>
      <c r="P35" s="31"/>
      <c r="Q35" s="31"/>
    </row>
    <row r="36">
      <c r="A36" s="9">
        <v>35.0</v>
      </c>
      <c r="B36" s="33">
        <v>3600.0</v>
      </c>
      <c r="C36" s="11">
        <v>2.0</v>
      </c>
      <c r="D36" s="27">
        <f t="shared" si="6"/>
        <v>71400</v>
      </c>
      <c r="E36" s="12">
        <f t="shared" si="7"/>
        <v>44</v>
      </c>
      <c r="F36" s="13">
        <f t="shared" si="3"/>
        <v>205.7142857</v>
      </c>
      <c r="G36" s="14">
        <f t="shared" si="4"/>
        <v>3.428571429</v>
      </c>
      <c r="H36" s="15">
        <f t="shared" ref="H36:I36" si="40">F36+H35</f>
        <v>4080</v>
      </c>
      <c r="I36" s="16">
        <f t="shared" si="40"/>
        <v>68</v>
      </c>
      <c r="J36" s="31"/>
      <c r="K36" s="31"/>
      <c r="L36" s="31"/>
      <c r="M36" s="31"/>
      <c r="N36" s="31"/>
      <c r="O36" s="31"/>
      <c r="P36" s="31"/>
      <c r="Q36" s="31"/>
    </row>
    <row r="37">
      <c r="A37" s="9">
        <v>36.0</v>
      </c>
      <c r="B37" s="33">
        <v>3600.0</v>
      </c>
      <c r="C37" s="11">
        <v>2.0</v>
      </c>
      <c r="D37" s="27">
        <f t="shared" si="6"/>
        <v>75000</v>
      </c>
      <c r="E37" s="12">
        <f t="shared" si="7"/>
        <v>46</v>
      </c>
      <c r="F37" s="13">
        <f t="shared" si="3"/>
        <v>205.7142857</v>
      </c>
      <c r="G37" s="14">
        <f t="shared" si="4"/>
        <v>3.428571429</v>
      </c>
      <c r="H37" s="15">
        <f t="shared" ref="H37:I37" si="41">F37+H36</f>
        <v>4285.714286</v>
      </c>
      <c r="I37" s="16">
        <f t="shared" si="41"/>
        <v>71.42857143</v>
      </c>
      <c r="J37" s="31"/>
      <c r="K37" s="31"/>
      <c r="L37" s="31"/>
      <c r="M37" s="31"/>
      <c r="N37" s="31"/>
      <c r="O37" s="31"/>
      <c r="P37" s="31"/>
      <c r="Q37" s="31"/>
    </row>
    <row r="38">
      <c r="A38" s="9">
        <v>37.0</v>
      </c>
      <c r="B38" s="33">
        <v>3600.0</v>
      </c>
      <c r="C38" s="11">
        <v>2.0</v>
      </c>
      <c r="D38" s="27">
        <f t="shared" si="6"/>
        <v>78600</v>
      </c>
      <c r="E38" s="12">
        <f t="shared" si="7"/>
        <v>48</v>
      </c>
      <c r="F38" s="13">
        <f t="shared" si="3"/>
        <v>205.7142857</v>
      </c>
      <c r="G38" s="14">
        <f t="shared" si="4"/>
        <v>3.428571429</v>
      </c>
      <c r="H38" s="15">
        <f t="shared" ref="H38:I38" si="42">F38+H37</f>
        <v>4491.428571</v>
      </c>
      <c r="I38" s="16">
        <f t="shared" si="42"/>
        <v>74.85714286</v>
      </c>
      <c r="J38" s="31"/>
      <c r="K38" s="31"/>
      <c r="L38" s="31"/>
      <c r="M38" s="31"/>
      <c r="N38" s="31"/>
      <c r="O38" s="31"/>
      <c r="P38" s="31"/>
      <c r="Q38" s="31"/>
    </row>
    <row r="39">
      <c r="A39" s="9">
        <v>38.0</v>
      </c>
      <c r="B39" s="33">
        <v>3600.0</v>
      </c>
      <c r="C39" s="11">
        <v>2.0</v>
      </c>
      <c r="D39" s="27">
        <f t="shared" si="6"/>
        <v>82200</v>
      </c>
      <c r="E39" s="12">
        <f t="shared" si="7"/>
        <v>50</v>
      </c>
      <c r="F39" s="13">
        <f t="shared" si="3"/>
        <v>205.7142857</v>
      </c>
      <c r="G39" s="14">
        <f t="shared" si="4"/>
        <v>3.428571429</v>
      </c>
      <c r="H39" s="15">
        <f t="shared" ref="H39:I39" si="43">F39+H38</f>
        <v>4697.142857</v>
      </c>
      <c r="I39" s="16">
        <f t="shared" si="43"/>
        <v>78.28571429</v>
      </c>
      <c r="J39" s="31"/>
      <c r="K39" s="31"/>
      <c r="L39" s="31"/>
      <c r="M39" s="31"/>
      <c r="N39" s="31"/>
      <c r="O39" s="31"/>
      <c r="P39" s="31"/>
      <c r="Q39" s="31"/>
    </row>
    <row r="40">
      <c r="A40" s="9">
        <v>39.0</v>
      </c>
      <c r="B40" s="33">
        <v>3600.0</v>
      </c>
      <c r="C40" s="11">
        <v>2.0</v>
      </c>
      <c r="D40" s="27">
        <f t="shared" si="6"/>
        <v>85800</v>
      </c>
      <c r="E40" s="12">
        <f t="shared" si="7"/>
        <v>52</v>
      </c>
      <c r="F40" s="13">
        <f t="shared" si="3"/>
        <v>205.7142857</v>
      </c>
      <c r="G40" s="14">
        <f t="shared" si="4"/>
        <v>3.428571429</v>
      </c>
      <c r="H40" s="15">
        <f t="shared" ref="H40:I40" si="44">F40+H39</f>
        <v>4902.857143</v>
      </c>
      <c r="I40" s="16">
        <f t="shared" si="44"/>
        <v>81.71428571</v>
      </c>
      <c r="J40" s="31"/>
      <c r="K40" s="31"/>
      <c r="L40" s="31"/>
      <c r="M40" s="31"/>
      <c r="N40" s="31"/>
      <c r="O40" s="31"/>
      <c r="P40" s="31"/>
      <c r="Q40" s="31"/>
    </row>
    <row r="41">
      <c r="A41" s="9">
        <v>40.0</v>
      </c>
      <c r="B41" s="33">
        <v>3600.0</v>
      </c>
      <c r="C41" s="11">
        <v>2.0</v>
      </c>
      <c r="D41" s="27">
        <f t="shared" si="6"/>
        <v>89400</v>
      </c>
      <c r="E41" s="12">
        <f t="shared" si="7"/>
        <v>54</v>
      </c>
      <c r="F41" s="13">
        <f t="shared" si="3"/>
        <v>205.7142857</v>
      </c>
      <c r="G41" s="14">
        <f t="shared" si="4"/>
        <v>3.428571429</v>
      </c>
      <c r="H41" s="15">
        <f t="shared" ref="H41:I41" si="45">F41+H40</f>
        <v>5108.571429</v>
      </c>
      <c r="I41" s="16">
        <f t="shared" si="45"/>
        <v>85.14285714</v>
      </c>
      <c r="J41" s="31"/>
      <c r="K41" s="31"/>
      <c r="L41" s="31"/>
      <c r="M41" s="31"/>
      <c r="N41" s="31"/>
      <c r="O41" s="31"/>
      <c r="P41" s="31"/>
      <c r="Q41" s="31"/>
    </row>
    <row r="42">
      <c r="A42" s="9">
        <v>41.0</v>
      </c>
      <c r="B42" s="33">
        <v>3600.0</v>
      </c>
      <c r="C42" s="11">
        <v>3.0</v>
      </c>
      <c r="D42" s="27">
        <f t="shared" si="6"/>
        <v>93000</v>
      </c>
      <c r="E42" s="12">
        <f t="shared" si="7"/>
        <v>57</v>
      </c>
      <c r="F42" s="13">
        <f t="shared" si="3"/>
        <v>205.7142857</v>
      </c>
      <c r="G42" s="14">
        <f t="shared" si="4"/>
        <v>3.428571429</v>
      </c>
      <c r="H42" s="15">
        <f t="shared" ref="H42:I42" si="46">F42+H41</f>
        <v>5314.285714</v>
      </c>
      <c r="I42" s="16">
        <f t="shared" si="46"/>
        <v>88.57142857</v>
      </c>
      <c r="J42" s="31"/>
      <c r="K42" s="31"/>
      <c r="L42" s="31"/>
      <c r="M42" s="31"/>
      <c r="N42" s="31"/>
      <c r="O42" s="31"/>
      <c r="P42" s="31"/>
      <c r="Q42" s="31"/>
    </row>
    <row r="43">
      <c r="A43" s="9">
        <v>42.0</v>
      </c>
      <c r="B43" s="33">
        <v>4800.0</v>
      </c>
      <c r="C43" s="11">
        <v>3.0</v>
      </c>
      <c r="D43" s="27">
        <f t="shared" si="6"/>
        <v>97800</v>
      </c>
      <c r="E43" s="12">
        <f t="shared" si="7"/>
        <v>60</v>
      </c>
      <c r="F43" s="13">
        <f t="shared" si="3"/>
        <v>274.2857143</v>
      </c>
      <c r="G43" s="14">
        <f t="shared" si="4"/>
        <v>4.571428571</v>
      </c>
      <c r="H43" s="15">
        <f t="shared" ref="H43:I43" si="47">F43+H42</f>
        <v>5588.571429</v>
      </c>
      <c r="I43" s="16">
        <f t="shared" si="47"/>
        <v>93.14285714</v>
      </c>
      <c r="J43" s="31"/>
      <c r="K43" s="31"/>
      <c r="L43" s="31"/>
      <c r="M43" s="31"/>
      <c r="N43" s="31"/>
      <c r="O43" s="31"/>
      <c r="P43" s="31"/>
      <c r="Q43" s="31"/>
    </row>
    <row r="44">
      <c r="A44" s="9">
        <v>43.0</v>
      </c>
      <c r="B44" s="33">
        <v>4800.0</v>
      </c>
      <c r="C44" s="11">
        <v>3.0</v>
      </c>
      <c r="D44" s="27">
        <f t="shared" si="6"/>
        <v>102600</v>
      </c>
      <c r="E44" s="12">
        <f t="shared" si="7"/>
        <v>63</v>
      </c>
      <c r="F44" s="13">
        <f t="shared" si="3"/>
        <v>274.2857143</v>
      </c>
      <c r="G44" s="14">
        <f t="shared" si="4"/>
        <v>4.571428571</v>
      </c>
      <c r="H44" s="15">
        <f t="shared" ref="H44:I44" si="48">F44+H43</f>
        <v>5862.857143</v>
      </c>
      <c r="I44" s="16">
        <f t="shared" si="48"/>
        <v>97.71428571</v>
      </c>
      <c r="J44" s="31"/>
      <c r="K44" s="31"/>
      <c r="L44" s="31"/>
      <c r="M44" s="31"/>
      <c r="N44" s="31"/>
      <c r="O44" s="31"/>
      <c r="P44" s="31"/>
      <c r="Q44" s="31"/>
    </row>
    <row r="45">
      <c r="A45" s="9">
        <v>44.0</v>
      </c>
      <c r="B45" s="33">
        <v>4800.0</v>
      </c>
      <c r="C45" s="11">
        <v>3.0</v>
      </c>
      <c r="D45" s="27">
        <f t="shared" si="6"/>
        <v>107400</v>
      </c>
      <c r="E45" s="12">
        <f t="shared" si="7"/>
        <v>66</v>
      </c>
      <c r="F45" s="13">
        <f t="shared" si="3"/>
        <v>274.2857143</v>
      </c>
      <c r="G45" s="14">
        <f t="shared" si="4"/>
        <v>4.571428571</v>
      </c>
      <c r="H45" s="15">
        <f t="shared" ref="H45:I45" si="49">F45+H44</f>
        <v>6137.142857</v>
      </c>
      <c r="I45" s="16">
        <f t="shared" si="49"/>
        <v>102.2857143</v>
      </c>
      <c r="J45" s="31"/>
      <c r="K45" s="31"/>
      <c r="L45" s="31"/>
      <c r="M45" s="31"/>
      <c r="N45" s="31"/>
      <c r="O45" s="31"/>
      <c r="P45" s="31"/>
      <c r="Q45" s="31"/>
    </row>
    <row r="46">
      <c r="A46" s="9">
        <v>45.0</v>
      </c>
      <c r="B46" s="33">
        <v>4800.0</v>
      </c>
      <c r="C46" s="11">
        <v>3.0</v>
      </c>
      <c r="D46" s="27">
        <f t="shared" si="6"/>
        <v>112200</v>
      </c>
      <c r="E46" s="12">
        <f t="shared" si="7"/>
        <v>69</v>
      </c>
      <c r="F46" s="13">
        <f t="shared" si="3"/>
        <v>274.2857143</v>
      </c>
      <c r="G46" s="14">
        <f t="shared" si="4"/>
        <v>4.571428571</v>
      </c>
      <c r="H46" s="15">
        <f t="shared" ref="H46:I46" si="50">F46+H45</f>
        <v>6411.428571</v>
      </c>
      <c r="I46" s="16">
        <f t="shared" si="50"/>
        <v>106.8571429</v>
      </c>
      <c r="J46" s="31"/>
      <c r="K46" s="31"/>
      <c r="L46" s="31"/>
      <c r="M46" s="31"/>
      <c r="N46" s="31"/>
      <c r="O46" s="31"/>
      <c r="P46" s="31"/>
      <c r="Q46" s="31"/>
    </row>
    <row r="47">
      <c r="A47" s="9">
        <v>46.0</v>
      </c>
      <c r="B47" s="33">
        <v>4800.0</v>
      </c>
      <c r="C47" s="11">
        <v>3.0</v>
      </c>
      <c r="D47" s="27">
        <f t="shared" si="6"/>
        <v>117000</v>
      </c>
      <c r="E47" s="12">
        <f t="shared" si="7"/>
        <v>72</v>
      </c>
      <c r="F47" s="13">
        <f t="shared" si="3"/>
        <v>274.2857143</v>
      </c>
      <c r="G47" s="14">
        <f t="shared" si="4"/>
        <v>4.571428571</v>
      </c>
      <c r="H47" s="15">
        <f t="shared" ref="H47:I47" si="51">F47+H46</f>
        <v>6685.714286</v>
      </c>
      <c r="I47" s="16">
        <f t="shared" si="51"/>
        <v>111.4285714</v>
      </c>
      <c r="J47" s="31"/>
      <c r="K47" s="31"/>
      <c r="L47" s="31"/>
      <c r="M47" s="31"/>
      <c r="N47" s="31"/>
      <c r="O47" s="31"/>
      <c r="P47" s="31"/>
      <c r="Q47" s="31"/>
    </row>
    <row r="48">
      <c r="A48" s="9">
        <v>47.0</v>
      </c>
      <c r="B48" s="33">
        <v>4800.0</v>
      </c>
      <c r="C48" s="11">
        <v>3.0</v>
      </c>
      <c r="D48" s="27">
        <f t="shared" si="6"/>
        <v>121800</v>
      </c>
      <c r="E48" s="12">
        <f t="shared" si="7"/>
        <v>75</v>
      </c>
      <c r="F48" s="13">
        <f t="shared" si="3"/>
        <v>274.2857143</v>
      </c>
      <c r="G48" s="14">
        <f t="shared" si="4"/>
        <v>4.571428571</v>
      </c>
      <c r="H48" s="15">
        <f t="shared" ref="H48:I48" si="52">F48+H47</f>
        <v>6960</v>
      </c>
      <c r="I48" s="16">
        <f t="shared" si="52"/>
        <v>116</v>
      </c>
      <c r="J48" s="31"/>
      <c r="K48" s="31"/>
      <c r="L48" s="31"/>
      <c r="M48" s="31"/>
      <c r="N48" s="31"/>
      <c r="O48" s="31"/>
      <c r="P48" s="31"/>
      <c r="Q48" s="31"/>
    </row>
    <row r="49">
      <c r="A49" s="9">
        <v>48.0</v>
      </c>
      <c r="B49" s="33">
        <v>4800.0</v>
      </c>
      <c r="C49" s="11">
        <v>3.0</v>
      </c>
      <c r="D49" s="27">
        <f t="shared" si="6"/>
        <v>126600</v>
      </c>
      <c r="E49" s="12">
        <f t="shared" si="7"/>
        <v>78</v>
      </c>
      <c r="F49" s="13">
        <f t="shared" si="3"/>
        <v>274.2857143</v>
      </c>
      <c r="G49" s="14">
        <f t="shared" si="4"/>
        <v>4.571428571</v>
      </c>
      <c r="H49" s="15">
        <f t="shared" ref="H49:I49" si="53">F49+H48</f>
        <v>7234.285714</v>
      </c>
      <c r="I49" s="16">
        <f t="shared" si="53"/>
        <v>120.5714286</v>
      </c>
      <c r="J49" s="31"/>
      <c r="K49" s="31"/>
      <c r="L49" s="31"/>
      <c r="M49" s="31"/>
      <c r="N49" s="31"/>
      <c r="O49" s="31"/>
      <c r="P49" s="31"/>
      <c r="Q49" s="31"/>
    </row>
    <row r="50">
      <c r="A50" s="9">
        <v>49.0</v>
      </c>
      <c r="B50" s="33">
        <v>4800.0</v>
      </c>
      <c r="C50" s="11">
        <v>3.0</v>
      </c>
      <c r="D50" s="27">
        <f t="shared" si="6"/>
        <v>131400</v>
      </c>
      <c r="E50" s="12">
        <f t="shared" si="7"/>
        <v>81</v>
      </c>
      <c r="F50" s="13">
        <f t="shared" si="3"/>
        <v>274.2857143</v>
      </c>
      <c r="G50" s="14">
        <f t="shared" si="4"/>
        <v>4.571428571</v>
      </c>
      <c r="H50" s="15">
        <f t="shared" ref="H50:I50" si="54">F50+H49</f>
        <v>7508.571429</v>
      </c>
      <c r="I50" s="16">
        <f t="shared" si="54"/>
        <v>125.1428571</v>
      </c>
      <c r="J50" s="31"/>
      <c r="K50" s="31"/>
      <c r="L50" s="31"/>
      <c r="M50" s="31"/>
      <c r="N50" s="31"/>
      <c r="O50" s="31"/>
      <c r="P50" s="31"/>
      <c r="Q50" s="31"/>
    </row>
    <row r="51">
      <c r="A51" s="9">
        <v>50.0</v>
      </c>
      <c r="B51" s="33">
        <v>4800.0</v>
      </c>
      <c r="C51" s="11">
        <v>3.0</v>
      </c>
      <c r="D51" s="27">
        <f t="shared" si="6"/>
        <v>136200</v>
      </c>
      <c r="E51" s="12">
        <f t="shared" si="7"/>
        <v>84</v>
      </c>
      <c r="F51" s="13">
        <f t="shared" si="3"/>
        <v>274.2857143</v>
      </c>
      <c r="G51" s="14">
        <f t="shared" si="4"/>
        <v>4.571428571</v>
      </c>
      <c r="H51" s="15">
        <f t="shared" ref="H51:I51" si="55">F51+H50</f>
        <v>7782.857143</v>
      </c>
      <c r="I51" s="16">
        <f t="shared" si="55"/>
        <v>129.7142857</v>
      </c>
      <c r="J51" s="31"/>
      <c r="K51" s="31"/>
      <c r="L51" s="31"/>
      <c r="M51" s="31"/>
      <c r="N51" s="31"/>
      <c r="O51" s="31"/>
      <c r="P51" s="31"/>
      <c r="Q51" s="31"/>
    </row>
    <row r="52">
      <c r="A52" s="9">
        <v>51.0</v>
      </c>
      <c r="B52" s="33">
        <v>4800.0</v>
      </c>
      <c r="C52" s="11">
        <v>3.0</v>
      </c>
      <c r="D52" s="27">
        <f t="shared" si="6"/>
        <v>141000</v>
      </c>
      <c r="E52" s="12">
        <f t="shared" si="7"/>
        <v>87</v>
      </c>
      <c r="F52" s="13">
        <f t="shared" si="3"/>
        <v>274.2857143</v>
      </c>
      <c r="G52" s="14">
        <f t="shared" si="4"/>
        <v>4.571428571</v>
      </c>
      <c r="H52" s="15">
        <f t="shared" ref="H52:I52" si="56">F52+H51</f>
        <v>8057.142857</v>
      </c>
      <c r="I52" s="16">
        <f t="shared" si="56"/>
        <v>134.2857143</v>
      </c>
      <c r="J52" s="31"/>
      <c r="K52" s="31"/>
      <c r="L52" s="31"/>
      <c r="M52" s="31"/>
      <c r="N52" s="31"/>
      <c r="O52" s="31"/>
      <c r="P52" s="31"/>
      <c r="Q52" s="31"/>
    </row>
    <row r="53">
      <c r="A53" s="9">
        <v>52.0</v>
      </c>
      <c r="B53" s="33">
        <v>4800.0</v>
      </c>
      <c r="C53" s="11">
        <v>3.0</v>
      </c>
      <c r="D53" s="27">
        <f t="shared" si="6"/>
        <v>145800</v>
      </c>
      <c r="E53" s="12">
        <f t="shared" si="7"/>
        <v>90</v>
      </c>
      <c r="F53" s="13">
        <f t="shared" si="3"/>
        <v>274.2857143</v>
      </c>
      <c r="G53" s="14">
        <f t="shared" si="4"/>
        <v>4.571428571</v>
      </c>
      <c r="H53" s="15">
        <f t="shared" ref="H53:I53" si="57">F53+H52</f>
        <v>8331.428571</v>
      </c>
      <c r="I53" s="16">
        <f t="shared" si="57"/>
        <v>138.8571429</v>
      </c>
      <c r="J53" s="31"/>
      <c r="K53" s="31"/>
      <c r="L53" s="31"/>
      <c r="M53" s="31"/>
      <c r="N53" s="31"/>
      <c r="O53" s="31"/>
      <c r="P53" s="31"/>
      <c r="Q53" s="31"/>
    </row>
    <row r="54">
      <c r="A54" s="9">
        <v>53.0</v>
      </c>
      <c r="B54" s="33">
        <v>4800.0</v>
      </c>
      <c r="C54" s="11">
        <v>3.0</v>
      </c>
      <c r="D54" s="27">
        <f t="shared" si="6"/>
        <v>150600</v>
      </c>
      <c r="E54" s="12">
        <f t="shared" si="7"/>
        <v>93</v>
      </c>
      <c r="F54" s="13">
        <f t="shared" si="3"/>
        <v>274.2857143</v>
      </c>
      <c r="G54" s="14">
        <f t="shared" si="4"/>
        <v>4.571428571</v>
      </c>
      <c r="H54" s="15">
        <f t="shared" ref="H54:I54" si="58">F54+H53</f>
        <v>8605.714286</v>
      </c>
      <c r="I54" s="16">
        <f t="shared" si="58"/>
        <v>143.4285714</v>
      </c>
      <c r="J54" s="31"/>
      <c r="K54" s="31"/>
      <c r="L54" s="31"/>
      <c r="M54" s="31"/>
      <c r="N54" s="31"/>
      <c r="O54" s="31"/>
      <c r="P54" s="31"/>
      <c r="Q54" s="31"/>
    </row>
    <row r="55">
      <c r="A55" s="9">
        <v>54.0</v>
      </c>
      <c r="B55" s="33">
        <v>4800.0</v>
      </c>
      <c r="C55" s="11">
        <v>3.0</v>
      </c>
      <c r="D55" s="27">
        <f t="shared" si="6"/>
        <v>155400</v>
      </c>
      <c r="E55" s="12">
        <f t="shared" si="7"/>
        <v>96</v>
      </c>
      <c r="F55" s="13">
        <f t="shared" si="3"/>
        <v>274.2857143</v>
      </c>
      <c r="G55" s="14">
        <f t="shared" si="4"/>
        <v>4.571428571</v>
      </c>
      <c r="H55" s="15">
        <f t="shared" ref="H55:I55" si="59">F55+H54</f>
        <v>8880</v>
      </c>
      <c r="I55" s="16">
        <f t="shared" si="59"/>
        <v>148</v>
      </c>
      <c r="J55" s="31"/>
      <c r="K55" s="31"/>
      <c r="L55" s="31"/>
      <c r="M55" s="31"/>
      <c r="N55" s="31"/>
      <c r="O55" s="31"/>
      <c r="P55" s="31"/>
      <c r="Q55" s="31"/>
    </row>
    <row r="56">
      <c r="A56" s="9">
        <v>55.0</v>
      </c>
      <c r="B56" s="33">
        <v>4800.0</v>
      </c>
      <c r="C56" s="11">
        <v>3.0</v>
      </c>
      <c r="D56" s="27">
        <f t="shared" si="6"/>
        <v>160200</v>
      </c>
      <c r="E56" s="12">
        <f t="shared" si="7"/>
        <v>99</v>
      </c>
      <c r="F56" s="13">
        <f t="shared" si="3"/>
        <v>274.2857143</v>
      </c>
      <c r="G56" s="14">
        <f t="shared" si="4"/>
        <v>4.571428571</v>
      </c>
      <c r="H56" s="15">
        <f t="shared" ref="H56:I56" si="60">F56+H55</f>
        <v>9154.285714</v>
      </c>
      <c r="I56" s="16">
        <f t="shared" si="60"/>
        <v>152.5714286</v>
      </c>
      <c r="J56" s="31"/>
      <c r="K56" s="31"/>
      <c r="L56" s="31"/>
      <c r="M56" s="31"/>
      <c r="N56" s="31"/>
      <c r="O56" s="31"/>
      <c r="P56" s="31"/>
      <c r="Q56" s="31"/>
    </row>
    <row r="57">
      <c r="A57" s="9">
        <v>56.0</v>
      </c>
      <c r="B57" s="33">
        <v>4800.0</v>
      </c>
      <c r="C57" s="11">
        <v>4.0</v>
      </c>
      <c r="D57" s="27">
        <f t="shared" si="6"/>
        <v>165000</v>
      </c>
      <c r="E57" s="12">
        <f t="shared" si="7"/>
        <v>103</v>
      </c>
      <c r="F57" s="13">
        <f t="shared" si="3"/>
        <v>274.2857143</v>
      </c>
      <c r="G57" s="14">
        <f t="shared" si="4"/>
        <v>4.571428571</v>
      </c>
      <c r="H57" s="15">
        <f t="shared" ref="H57:I57" si="61">F57+H56</f>
        <v>9428.571429</v>
      </c>
      <c r="I57" s="16">
        <f t="shared" si="61"/>
        <v>157.1428571</v>
      </c>
      <c r="J57" s="31"/>
      <c r="K57" s="31"/>
      <c r="L57" s="31"/>
      <c r="M57" s="31"/>
      <c r="N57" s="31"/>
      <c r="O57" s="31"/>
      <c r="P57" s="31"/>
      <c r="Q57" s="31"/>
    </row>
    <row r="58">
      <c r="A58" s="9">
        <v>57.0</v>
      </c>
      <c r="B58" s="33">
        <v>7200.0</v>
      </c>
      <c r="C58" s="11">
        <v>4.0</v>
      </c>
      <c r="D58" s="27">
        <f t="shared" si="6"/>
        <v>172200</v>
      </c>
      <c r="E58" s="12">
        <f t="shared" si="7"/>
        <v>107</v>
      </c>
      <c r="F58" s="13">
        <f t="shared" si="3"/>
        <v>411.4285714</v>
      </c>
      <c r="G58" s="14">
        <f t="shared" si="4"/>
        <v>6.857142857</v>
      </c>
      <c r="H58" s="15">
        <f t="shared" ref="H58:I58" si="62">F58+H57</f>
        <v>9840</v>
      </c>
      <c r="I58" s="16">
        <f t="shared" si="62"/>
        <v>164</v>
      </c>
      <c r="J58" s="31"/>
      <c r="K58" s="31"/>
      <c r="L58" s="31"/>
      <c r="M58" s="31"/>
      <c r="N58" s="31"/>
      <c r="O58" s="31"/>
      <c r="P58" s="31"/>
      <c r="Q58" s="31"/>
    </row>
    <row r="59">
      <c r="A59" s="9">
        <v>58.0</v>
      </c>
      <c r="B59" s="33">
        <v>7200.0</v>
      </c>
      <c r="C59" s="11">
        <v>4.0</v>
      </c>
      <c r="D59" s="27">
        <f t="shared" si="6"/>
        <v>179400</v>
      </c>
      <c r="E59" s="12">
        <f t="shared" si="7"/>
        <v>111</v>
      </c>
      <c r="F59" s="13">
        <f t="shared" si="3"/>
        <v>411.4285714</v>
      </c>
      <c r="G59" s="14">
        <f t="shared" si="4"/>
        <v>6.857142857</v>
      </c>
      <c r="H59" s="15">
        <f t="shared" ref="H59:I59" si="63">F59+H58</f>
        <v>10251.42857</v>
      </c>
      <c r="I59" s="16">
        <f t="shared" si="63"/>
        <v>170.8571429</v>
      </c>
      <c r="J59" s="31"/>
      <c r="K59" s="31"/>
      <c r="L59" s="31"/>
      <c r="M59" s="31"/>
      <c r="N59" s="31"/>
      <c r="O59" s="31"/>
      <c r="P59" s="31"/>
      <c r="Q59" s="31"/>
    </row>
    <row r="60">
      <c r="A60" s="9">
        <v>59.0</v>
      </c>
      <c r="B60" s="33">
        <v>7200.0</v>
      </c>
      <c r="C60" s="11">
        <v>4.0</v>
      </c>
      <c r="D60" s="27">
        <f t="shared" si="6"/>
        <v>186600</v>
      </c>
      <c r="E60" s="12">
        <f t="shared" si="7"/>
        <v>115</v>
      </c>
      <c r="F60" s="13">
        <f t="shared" si="3"/>
        <v>411.4285714</v>
      </c>
      <c r="G60" s="14">
        <f t="shared" si="4"/>
        <v>6.857142857</v>
      </c>
      <c r="H60" s="15">
        <f t="shared" ref="H60:I60" si="64">F60+H59</f>
        <v>10662.85714</v>
      </c>
      <c r="I60" s="16">
        <f t="shared" si="64"/>
        <v>177.7142857</v>
      </c>
      <c r="J60" s="31"/>
      <c r="K60" s="31"/>
      <c r="L60" s="31"/>
      <c r="M60" s="31"/>
      <c r="N60" s="31"/>
      <c r="O60" s="31"/>
      <c r="P60" s="31"/>
      <c r="Q60" s="31"/>
    </row>
    <row r="61">
      <c r="A61" s="9">
        <v>60.0</v>
      </c>
      <c r="B61" s="33">
        <v>7200.0</v>
      </c>
      <c r="C61" s="11">
        <v>4.0</v>
      </c>
      <c r="D61" s="27">
        <f t="shared" si="6"/>
        <v>193800</v>
      </c>
      <c r="E61" s="12">
        <f t="shared" si="7"/>
        <v>119</v>
      </c>
      <c r="F61" s="13">
        <f t="shared" si="3"/>
        <v>411.4285714</v>
      </c>
      <c r="G61" s="14">
        <f t="shared" si="4"/>
        <v>6.857142857</v>
      </c>
      <c r="H61" s="15">
        <f t="shared" ref="H61:I61" si="65">F61+H60</f>
        <v>11074.28571</v>
      </c>
      <c r="I61" s="16">
        <f t="shared" si="65"/>
        <v>184.5714286</v>
      </c>
      <c r="J61" s="31"/>
      <c r="K61" s="31"/>
      <c r="L61" s="31"/>
      <c r="M61" s="31"/>
      <c r="N61" s="31"/>
      <c r="O61" s="31"/>
      <c r="P61" s="31"/>
      <c r="Q61" s="31"/>
    </row>
    <row r="62">
      <c r="A62" s="9">
        <v>61.0</v>
      </c>
      <c r="B62" s="33">
        <v>7200.0</v>
      </c>
      <c r="C62" s="11">
        <v>4.0</v>
      </c>
      <c r="D62" s="27">
        <f t="shared" si="6"/>
        <v>201000</v>
      </c>
      <c r="E62" s="12">
        <f t="shared" si="7"/>
        <v>123</v>
      </c>
      <c r="F62" s="13">
        <f t="shared" si="3"/>
        <v>411.4285714</v>
      </c>
      <c r="G62" s="14">
        <f t="shared" si="4"/>
        <v>6.857142857</v>
      </c>
      <c r="H62" s="15">
        <f t="shared" ref="H62:I62" si="66">F62+H61</f>
        <v>11485.71429</v>
      </c>
      <c r="I62" s="16">
        <f t="shared" si="66"/>
        <v>191.4285714</v>
      </c>
      <c r="J62" s="31"/>
      <c r="K62" s="31"/>
      <c r="L62" s="31"/>
      <c r="M62" s="31"/>
      <c r="N62" s="31"/>
      <c r="O62" s="31"/>
      <c r="P62" s="31"/>
      <c r="Q62" s="31"/>
    </row>
    <row r="63">
      <c r="A63" s="9">
        <v>62.0</v>
      </c>
      <c r="B63" s="33">
        <v>7200.0</v>
      </c>
      <c r="C63" s="11">
        <v>4.0</v>
      </c>
      <c r="D63" s="27">
        <f t="shared" si="6"/>
        <v>208200</v>
      </c>
      <c r="E63" s="12">
        <f t="shared" si="7"/>
        <v>127</v>
      </c>
      <c r="F63" s="13">
        <f t="shared" si="3"/>
        <v>411.4285714</v>
      </c>
      <c r="G63" s="14">
        <f t="shared" si="4"/>
        <v>6.857142857</v>
      </c>
      <c r="H63" s="15">
        <f t="shared" ref="H63:I63" si="67">F63+H62</f>
        <v>11897.14286</v>
      </c>
      <c r="I63" s="16">
        <f t="shared" si="67"/>
        <v>198.2857143</v>
      </c>
      <c r="J63" s="31"/>
      <c r="K63" s="31"/>
      <c r="L63" s="31"/>
      <c r="M63" s="31"/>
      <c r="N63" s="31"/>
      <c r="O63" s="31"/>
      <c r="P63" s="31"/>
      <c r="Q63" s="31"/>
    </row>
    <row r="64">
      <c r="A64" s="9">
        <v>63.0</v>
      </c>
      <c r="B64" s="33">
        <v>7200.0</v>
      </c>
      <c r="C64" s="11">
        <v>4.0</v>
      </c>
      <c r="D64" s="27">
        <f t="shared" si="6"/>
        <v>215400</v>
      </c>
      <c r="E64" s="12">
        <f t="shared" si="7"/>
        <v>131</v>
      </c>
      <c r="F64" s="13">
        <f t="shared" si="3"/>
        <v>411.4285714</v>
      </c>
      <c r="G64" s="14">
        <f t="shared" si="4"/>
        <v>6.857142857</v>
      </c>
      <c r="H64" s="15">
        <f t="shared" ref="H64:I64" si="68">F64+H63</f>
        <v>12308.57143</v>
      </c>
      <c r="I64" s="16">
        <f t="shared" si="68"/>
        <v>205.1428571</v>
      </c>
      <c r="J64" s="31"/>
      <c r="K64" s="31"/>
      <c r="L64" s="31"/>
      <c r="M64" s="31"/>
      <c r="N64" s="31"/>
      <c r="O64" s="31"/>
      <c r="P64" s="31"/>
      <c r="Q64" s="31"/>
    </row>
    <row r="65">
      <c r="A65" s="9">
        <v>64.0</v>
      </c>
      <c r="B65" s="33">
        <v>7200.0</v>
      </c>
      <c r="C65" s="11">
        <v>4.0</v>
      </c>
      <c r="D65" s="27">
        <f t="shared" si="6"/>
        <v>222600</v>
      </c>
      <c r="E65" s="12">
        <f t="shared" si="7"/>
        <v>135</v>
      </c>
      <c r="F65" s="13">
        <f t="shared" si="3"/>
        <v>411.4285714</v>
      </c>
      <c r="G65" s="14">
        <f t="shared" si="4"/>
        <v>6.857142857</v>
      </c>
      <c r="H65" s="15">
        <f t="shared" ref="H65:I65" si="69">F65+H64</f>
        <v>12720</v>
      </c>
      <c r="I65" s="16">
        <f t="shared" si="69"/>
        <v>212</v>
      </c>
      <c r="J65" s="31"/>
      <c r="K65" s="31"/>
      <c r="L65" s="31"/>
      <c r="M65" s="31"/>
      <c r="N65" s="31"/>
      <c r="O65" s="31"/>
      <c r="P65" s="31"/>
      <c r="Q65" s="31"/>
    </row>
    <row r="66">
      <c r="A66" s="9">
        <v>65.0</v>
      </c>
      <c r="B66" s="33">
        <v>7200.0</v>
      </c>
      <c r="C66" s="11">
        <v>4.0</v>
      </c>
      <c r="D66" s="27">
        <f t="shared" si="6"/>
        <v>229800</v>
      </c>
      <c r="E66" s="12">
        <f t="shared" si="7"/>
        <v>139</v>
      </c>
      <c r="F66" s="13">
        <f t="shared" si="3"/>
        <v>411.4285714</v>
      </c>
      <c r="G66" s="14">
        <f t="shared" si="4"/>
        <v>6.857142857</v>
      </c>
      <c r="H66" s="15">
        <f t="shared" ref="H66:I66" si="70">F66+H65</f>
        <v>13131.42857</v>
      </c>
      <c r="I66" s="16">
        <f t="shared" si="70"/>
        <v>218.8571429</v>
      </c>
      <c r="J66" s="31"/>
      <c r="K66" s="31"/>
      <c r="L66" s="31"/>
      <c r="M66" s="31"/>
      <c r="N66" s="31"/>
      <c r="O66" s="31"/>
      <c r="P66" s="31"/>
      <c r="Q66" s="31"/>
    </row>
    <row r="67">
      <c r="A67" s="9">
        <v>66.0</v>
      </c>
      <c r="B67" s="33">
        <v>7200.0</v>
      </c>
      <c r="C67" s="11">
        <v>4.0</v>
      </c>
      <c r="D67" s="27">
        <f t="shared" si="6"/>
        <v>237000</v>
      </c>
      <c r="E67" s="12">
        <f t="shared" si="7"/>
        <v>143</v>
      </c>
      <c r="F67" s="13">
        <f t="shared" si="3"/>
        <v>411.4285714</v>
      </c>
      <c r="G67" s="14">
        <f t="shared" si="4"/>
        <v>6.857142857</v>
      </c>
      <c r="H67" s="15">
        <f t="shared" ref="H67:I67" si="71">F67+H66</f>
        <v>13542.85714</v>
      </c>
      <c r="I67" s="16">
        <f t="shared" si="71"/>
        <v>225.7142857</v>
      </c>
      <c r="J67" s="31"/>
      <c r="K67" s="31"/>
      <c r="L67" s="31"/>
      <c r="M67" s="31"/>
      <c r="N67" s="31"/>
      <c r="O67" s="31"/>
      <c r="P67" s="31"/>
      <c r="Q67" s="31"/>
    </row>
    <row r="68">
      <c r="A68" s="9">
        <v>67.0</v>
      </c>
      <c r="B68" s="33">
        <v>7200.0</v>
      </c>
      <c r="C68" s="11">
        <v>4.0</v>
      </c>
      <c r="D68" s="27">
        <f t="shared" si="6"/>
        <v>244200</v>
      </c>
      <c r="E68" s="12">
        <f t="shared" si="7"/>
        <v>147</v>
      </c>
      <c r="F68" s="13">
        <f t="shared" si="3"/>
        <v>411.4285714</v>
      </c>
      <c r="G68" s="14">
        <f t="shared" si="4"/>
        <v>6.857142857</v>
      </c>
      <c r="H68" s="15">
        <f t="shared" ref="H68:I68" si="72">F68+H67</f>
        <v>13954.28571</v>
      </c>
      <c r="I68" s="16">
        <f t="shared" si="72"/>
        <v>232.5714286</v>
      </c>
      <c r="J68" s="31"/>
      <c r="K68" s="31"/>
      <c r="L68" s="31"/>
      <c r="M68" s="31"/>
      <c r="N68" s="31"/>
      <c r="O68" s="31"/>
      <c r="P68" s="31"/>
      <c r="Q68" s="31"/>
    </row>
    <row r="69">
      <c r="A69" s="9">
        <v>68.0</v>
      </c>
      <c r="B69" s="33">
        <v>7200.0</v>
      </c>
      <c r="C69" s="11">
        <v>4.0</v>
      </c>
      <c r="D69" s="27">
        <f t="shared" si="6"/>
        <v>251400</v>
      </c>
      <c r="E69" s="12">
        <f t="shared" si="7"/>
        <v>151</v>
      </c>
      <c r="F69" s="13">
        <f t="shared" si="3"/>
        <v>411.4285714</v>
      </c>
      <c r="G69" s="14">
        <f t="shared" si="4"/>
        <v>6.857142857</v>
      </c>
      <c r="H69" s="15">
        <f t="shared" ref="H69:I69" si="73">F69+H68</f>
        <v>14365.71429</v>
      </c>
      <c r="I69" s="16">
        <f t="shared" si="73"/>
        <v>239.4285714</v>
      </c>
      <c r="J69" s="31"/>
      <c r="K69" s="31"/>
      <c r="L69" s="31"/>
      <c r="M69" s="31"/>
      <c r="N69" s="31"/>
      <c r="O69" s="31"/>
      <c r="P69" s="31"/>
      <c r="Q69" s="31"/>
    </row>
    <row r="70">
      <c r="A70" s="9">
        <v>69.0</v>
      </c>
      <c r="B70" s="33">
        <v>7200.0</v>
      </c>
      <c r="C70" s="11">
        <v>4.0</v>
      </c>
      <c r="D70" s="27">
        <f t="shared" si="6"/>
        <v>258600</v>
      </c>
      <c r="E70" s="12">
        <f t="shared" si="7"/>
        <v>155</v>
      </c>
      <c r="F70" s="13">
        <f t="shared" si="3"/>
        <v>411.4285714</v>
      </c>
      <c r="G70" s="14">
        <f t="shared" si="4"/>
        <v>6.857142857</v>
      </c>
      <c r="H70" s="15">
        <f t="shared" ref="H70:I70" si="74">F70+H69</f>
        <v>14777.14286</v>
      </c>
      <c r="I70" s="16">
        <f t="shared" si="74"/>
        <v>246.2857143</v>
      </c>
      <c r="J70" s="31"/>
      <c r="K70" s="31"/>
      <c r="L70" s="31"/>
      <c r="M70" s="31"/>
      <c r="N70" s="31"/>
      <c r="O70" s="31"/>
      <c r="P70" s="31"/>
      <c r="Q70" s="31"/>
    </row>
    <row r="71">
      <c r="A71" s="9">
        <v>70.0</v>
      </c>
      <c r="B71" s="33">
        <v>7200.0</v>
      </c>
      <c r="C71" s="11">
        <v>4.0</v>
      </c>
      <c r="D71" s="27">
        <f t="shared" si="6"/>
        <v>265800</v>
      </c>
      <c r="E71" s="12">
        <f t="shared" si="7"/>
        <v>159</v>
      </c>
      <c r="F71" s="13">
        <f t="shared" si="3"/>
        <v>411.4285714</v>
      </c>
      <c r="G71" s="14">
        <f t="shared" si="4"/>
        <v>6.857142857</v>
      </c>
      <c r="H71" s="15">
        <f t="shared" ref="H71:I71" si="75">F71+H70</f>
        <v>15188.57143</v>
      </c>
      <c r="I71" s="16">
        <f t="shared" si="75"/>
        <v>253.1428571</v>
      </c>
      <c r="J71" s="31"/>
      <c r="K71" s="31"/>
      <c r="L71" s="31"/>
      <c r="M71" s="31"/>
      <c r="N71" s="31"/>
      <c r="O71" s="31"/>
      <c r="P71" s="31"/>
      <c r="Q71" s="31"/>
    </row>
    <row r="72">
      <c r="A72" s="9">
        <v>71.0</v>
      </c>
      <c r="B72" s="33">
        <v>7200.0</v>
      </c>
      <c r="C72" s="11">
        <v>5.0</v>
      </c>
      <c r="D72" s="27">
        <f t="shared" si="6"/>
        <v>273000</v>
      </c>
      <c r="E72" s="12">
        <f t="shared" si="7"/>
        <v>164</v>
      </c>
      <c r="F72" s="13">
        <f t="shared" si="3"/>
        <v>411.4285714</v>
      </c>
      <c r="G72" s="14">
        <f t="shared" si="4"/>
        <v>6.857142857</v>
      </c>
      <c r="H72" s="15">
        <f t="shared" ref="H72:I72" si="76">F72+H71</f>
        <v>15600</v>
      </c>
      <c r="I72" s="16">
        <f t="shared" si="76"/>
        <v>260</v>
      </c>
      <c r="J72" s="31"/>
      <c r="K72" s="31"/>
      <c r="L72" s="31"/>
      <c r="M72" s="31"/>
      <c r="N72" s="31"/>
      <c r="O72" s="31"/>
      <c r="P72" s="31"/>
      <c r="Q72" s="31"/>
    </row>
    <row r="73">
      <c r="A73" s="9">
        <v>72.0</v>
      </c>
      <c r="B73" s="33">
        <v>10200.0</v>
      </c>
      <c r="C73" s="11">
        <v>5.0</v>
      </c>
      <c r="D73" s="27">
        <f t="shared" si="6"/>
        <v>283200</v>
      </c>
      <c r="E73" s="12">
        <f t="shared" si="7"/>
        <v>169</v>
      </c>
      <c r="F73" s="13">
        <f t="shared" si="3"/>
        <v>582.8571429</v>
      </c>
      <c r="G73" s="14">
        <f t="shared" si="4"/>
        <v>9.714285714</v>
      </c>
      <c r="H73" s="15">
        <f t="shared" ref="H73:I73" si="77">F73+H72</f>
        <v>16182.85714</v>
      </c>
      <c r="I73" s="16">
        <f t="shared" si="77"/>
        <v>269.7142857</v>
      </c>
      <c r="J73" s="31"/>
      <c r="K73" s="31"/>
      <c r="L73" s="31"/>
      <c r="M73" s="31"/>
      <c r="N73" s="31"/>
      <c r="O73" s="31"/>
      <c r="P73" s="31"/>
      <c r="Q73" s="31"/>
    </row>
    <row r="74">
      <c r="A74" s="9">
        <v>73.0</v>
      </c>
      <c r="B74" s="33">
        <v>10200.0</v>
      </c>
      <c r="C74" s="11">
        <v>5.0</v>
      </c>
      <c r="D74" s="27">
        <f t="shared" si="6"/>
        <v>293400</v>
      </c>
      <c r="E74" s="12">
        <f t="shared" si="7"/>
        <v>174</v>
      </c>
      <c r="F74" s="13">
        <f t="shared" si="3"/>
        <v>582.8571429</v>
      </c>
      <c r="G74" s="14">
        <f t="shared" si="4"/>
        <v>9.714285714</v>
      </c>
      <c r="H74" s="15">
        <f t="shared" ref="H74:I74" si="78">F74+H73</f>
        <v>16765.71429</v>
      </c>
      <c r="I74" s="16">
        <f t="shared" si="78"/>
        <v>279.4285714</v>
      </c>
      <c r="J74" s="31"/>
      <c r="K74" s="31"/>
      <c r="L74" s="31"/>
      <c r="M74" s="31"/>
      <c r="N74" s="31"/>
      <c r="O74" s="31"/>
      <c r="P74" s="31"/>
      <c r="Q74" s="31"/>
    </row>
    <row r="75">
      <c r="A75" s="9">
        <v>74.0</v>
      </c>
      <c r="B75" s="33">
        <v>10200.0</v>
      </c>
      <c r="C75" s="11">
        <v>5.0</v>
      </c>
      <c r="D75" s="27">
        <f t="shared" si="6"/>
        <v>303600</v>
      </c>
      <c r="E75" s="12">
        <f t="shared" si="7"/>
        <v>179</v>
      </c>
      <c r="F75" s="13">
        <f t="shared" si="3"/>
        <v>582.8571429</v>
      </c>
      <c r="G75" s="14">
        <f t="shared" si="4"/>
        <v>9.714285714</v>
      </c>
      <c r="H75" s="15">
        <f t="shared" ref="H75:I75" si="79">F75+H74</f>
        <v>17348.57143</v>
      </c>
      <c r="I75" s="16">
        <f t="shared" si="79"/>
        <v>289.1428571</v>
      </c>
      <c r="J75" s="31"/>
      <c r="K75" s="31"/>
      <c r="L75" s="31"/>
      <c r="M75" s="31"/>
      <c r="N75" s="31"/>
      <c r="O75" s="31"/>
      <c r="P75" s="31"/>
      <c r="Q75" s="31"/>
    </row>
    <row r="76">
      <c r="A76" s="9">
        <v>75.0</v>
      </c>
      <c r="B76" s="33">
        <v>10200.0</v>
      </c>
      <c r="C76" s="11">
        <v>5.0</v>
      </c>
      <c r="D76" s="27">
        <f t="shared" si="6"/>
        <v>313800</v>
      </c>
      <c r="E76" s="12">
        <f t="shared" si="7"/>
        <v>184</v>
      </c>
      <c r="F76" s="13">
        <f t="shared" si="3"/>
        <v>582.8571429</v>
      </c>
      <c r="G76" s="14">
        <f t="shared" si="4"/>
        <v>9.714285714</v>
      </c>
      <c r="H76" s="15">
        <f t="shared" ref="H76:I76" si="80">F76+H75</f>
        <v>17931.42857</v>
      </c>
      <c r="I76" s="16">
        <f t="shared" si="80"/>
        <v>298.8571429</v>
      </c>
      <c r="J76" s="31"/>
      <c r="K76" s="31"/>
      <c r="L76" s="31"/>
      <c r="M76" s="31"/>
      <c r="N76" s="31"/>
      <c r="O76" s="31"/>
      <c r="P76" s="31"/>
      <c r="Q76" s="31"/>
    </row>
    <row r="77">
      <c r="A77" s="9">
        <v>76.0</v>
      </c>
      <c r="B77" s="33">
        <v>10200.0</v>
      </c>
      <c r="C77" s="11">
        <v>5.0</v>
      </c>
      <c r="D77" s="27">
        <f t="shared" si="6"/>
        <v>324000</v>
      </c>
      <c r="E77" s="12">
        <f t="shared" si="7"/>
        <v>189</v>
      </c>
      <c r="F77" s="13">
        <f t="shared" si="3"/>
        <v>582.8571429</v>
      </c>
      <c r="G77" s="14">
        <f t="shared" si="4"/>
        <v>9.714285714</v>
      </c>
      <c r="H77" s="15">
        <f t="shared" ref="H77:I77" si="81">F77+H76</f>
        <v>18514.28571</v>
      </c>
      <c r="I77" s="16">
        <f t="shared" si="81"/>
        <v>308.5714286</v>
      </c>
      <c r="J77" s="31"/>
      <c r="K77" s="31"/>
      <c r="L77" s="31"/>
      <c r="M77" s="31"/>
      <c r="N77" s="31"/>
      <c r="O77" s="31"/>
      <c r="P77" s="31"/>
      <c r="Q77" s="31"/>
    </row>
    <row r="78">
      <c r="A78" s="9">
        <v>77.0</v>
      </c>
      <c r="B78" s="33">
        <v>10200.0</v>
      </c>
      <c r="C78" s="11">
        <v>5.0</v>
      </c>
      <c r="D78" s="27">
        <f t="shared" si="6"/>
        <v>334200</v>
      </c>
      <c r="E78" s="12">
        <f t="shared" si="7"/>
        <v>194</v>
      </c>
      <c r="F78" s="13">
        <f t="shared" si="3"/>
        <v>582.8571429</v>
      </c>
      <c r="G78" s="14">
        <f t="shared" si="4"/>
        <v>9.714285714</v>
      </c>
      <c r="H78" s="15">
        <f t="shared" ref="H78:I78" si="82">F78+H77</f>
        <v>19097.14286</v>
      </c>
      <c r="I78" s="16">
        <f t="shared" si="82"/>
        <v>318.2857143</v>
      </c>
      <c r="J78" s="31"/>
      <c r="K78" s="31"/>
      <c r="L78" s="31"/>
      <c r="M78" s="31"/>
      <c r="N78" s="31"/>
      <c r="O78" s="31"/>
      <c r="P78" s="31"/>
      <c r="Q78" s="31"/>
    </row>
    <row r="79">
      <c r="A79" s="9">
        <v>78.0</v>
      </c>
      <c r="B79" s="33">
        <v>10200.0</v>
      </c>
      <c r="C79" s="11">
        <v>5.0</v>
      </c>
      <c r="D79" s="27">
        <f t="shared" si="6"/>
        <v>344400</v>
      </c>
      <c r="E79" s="12">
        <f t="shared" si="7"/>
        <v>199</v>
      </c>
      <c r="F79" s="13">
        <f t="shared" si="3"/>
        <v>582.8571429</v>
      </c>
      <c r="G79" s="14">
        <f t="shared" si="4"/>
        <v>9.714285714</v>
      </c>
      <c r="H79" s="15">
        <f t="shared" ref="H79:I79" si="83">F79+H78</f>
        <v>19680</v>
      </c>
      <c r="I79" s="16">
        <f t="shared" si="83"/>
        <v>328</v>
      </c>
      <c r="J79" s="31"/>
      <c r="K79" s="31"/>
      <c r="L79" s="31"/>
      <c r="M79" s="31"/>
      <c r="N79" s="31"/>
      <c r="O79" s="31"/>
      <c r="P79" s="31"/>
      <c r="Q79" s="31"/>
    </row>
    <row r="80">
      <c r="A80" s="9">
        <v>79.0</v>
      </c>
      <c r="B80" s="33">
        <v>10200.0</v>
      </c>
      <c r="C80" s="11">
        <v>5.0</v>
      </c>
      <c r="D80" s="27">
        <f t="shared" si="6"/>
        <v>354600</v>
      </c>
      <c r="E80" s="12">
        <f t="shared" si="7"/>
        <v>204</v>
      </c>
      <c r="F80" s="13">
        <f t="shared" si="3"/>
        <v>582.8571429</v>
      </c>
      <c r="G80" s="14">
        <f t="shared" si="4"/>
        <v>9.714285714</v>
      </c>
      <c r="H80" s="15">
        <f t="shared" ref="H80:I80" si="84">F80+H79</f>
        <v>20262.85714</v>
      </c>
      <c r="I80" s="16">
        <f t="shared" si="84"/>
        <v>337.7142857</v>
      </c>
      <c r="J80" s="31"/>
      <c r="K80" s="31"/>
      <c r="L80" s="31"/>
      <c r="M80" s="31"/>
      <c r="N80" s="31"/>
      <c r="O80" s="31"/>
      <c r="P80" s="31"/>
      <c r="Q80" s="31"/>
    </row>
    <row r="81">
      <c r="A81" s="9">
        <v>80.0</v>
      </c>
      <c r="B81" s="33">
        <v>10200.0</v>
      </c>
      <c r="C81" s="11">
        <v>5.0</v>
      </c>
      <c r="D81" s="27">
        <f t="shared" si="6"/>
        <v>364800</v>
      </c>
      <c r="E81" s="12">
        <f t="shared" si="7"/>
        <v>209</v>
      </c>
      <c r="F81" s="13">
        <f t="shared" si="3"/>
        <v>582.8571429</v>
      </c>
      <c r="G81" s="14">
        <f t="shared" si="4"/>
        <v>9.714285714</v>
      </c>
      <c r="H81" s="15">
        <f t="shared" ref="H81:I81" si="85">F81+H80</f>
        <v>20845.71429</v>
      </c>
      <c r="I81" s="16">
        <f t="shared" si="85"/>
        <v>347.4285714</v>
      </c>
      <c r="J81" s="31"/>
      <c r="K81" s="31"/>
      <c r="L81" s="31"/>
      <c r="M81" s="31"/>
      <c r="N81" s="31"/>
      <c r="O81" s="31"/>
      <c r="P81" s="31"/>
      <c r="Q81" s="31"/>
    </row>
    <row r="82">
      <c r="A82" s="9">
        <v>81.0</v>
      </c>
      <c r="B82" s="33">
        <v>10200.0</v>
      </c>
      <c r="C82" s="11">
        <v>5.0</v>
      </c>
      <c r="D82" s="27">
        <f t="shared" si="6"/>
        <v>375000</v>
      </c>
      <c r="E82" s="12">
        <f t="shared" si="7"/>
        <v>214</v>
      </c>
      <c r="F82" s="13">
        <f t="shared" si="3"/>
        <v>582.8571429</v>
      </c>
      <c r="G82" s="14">
        <f t="shared" si="4"/>
        <v>9.714285714</v>
      </c>
      <c r="H82" s="15">
        <f t="shared" ref="H82:I82" si="86">F82+H81</f>
        <v>21428.57143</v>
      </c>
      <c r="I82" s="16">
        <f t="shared" si="86"/>
        <v>357.1428571</v>
      </c>
      <c r="J82" s="31"/>
      <c r="K82" s="31"/>
      <c r="L82" s="31"/>
      <c r="M82" s="31"/>
      <c r="N82" s="31"/>
      <c r="O82" s="31"/>
      <c r="P82" s="31"/>
      <c r="Q82" s="31"/>
    </row>
    <row r="83">
      <c r="A83" s="9">
        <v>82.0</v>
      </c>
      <c r="B83" s="33">
        <v>10200.0</v>
      </c>
      <c r="C83" s="11">
        <v>5.0</v>
      </c>
      <c r="D83" s="27">
        <f t="shared" si="6"/>
        <v>385200</v>
      </c>
      <c r="E83" s="12">
        <f t="shared" si="7"/>
        <v>219</v>
      </c>
      <c r="F83" s="13">
        <f t="shared" si="3"/>
        <v>582.8571429</v>
      </c>
      <c r="G83" s="14">
        <f t="shared" si="4"/>
        <v>9.714285714</v>
      </c>
      <c r="H83" s="15">
        <f t="shared" ref="H83:I83" si="87">F83+H82</f>
        <v>22011.42857</v>
      </c>
      <c r="I83" s="16">
        <f t="shared" si="87"/>
        <v>366.8571429</v>
      </c>
      <c r="J83" s="31"/>
      <c r="K83" s="31"/>
      <c r="L83" s="31"/>
      <c r="M83" s="31"/>
      <c r="N83" s="31"/>
      <c r="O83" s="31"/>
      <c r="P83" s="31"/>
      <c r="Q83" s="31"/>
    </row>
    <row r="84">
      <c r="A84" s="9">
        <v>83.0</v>
      </c>
      <c r="B84" s="33">
        <v>10200.0</v>
      </c>
      <c r="C84" s="11">
        <v>5.0</v>
      </c>
      <c r="D84" s="27">
        <f t="shared" si="6"/>
        <v>395400</v>
      </c>
      <c r="E84" s="12">
        <f t="shared" si="7"/>
        <v>224</v>
      </c>
      <c r="F84" s="13">
        <f t="shared" si="3"/>
        <v>582.8571429</v>
      </c>
      <c r="G84" s="14">
        <f t="shared" si="4"/>
        <v>9.714285714</v>
      </c>
      <c r="H84" s="15">
        <f t="shared" ref="H84:I84" si="88">F84+H83</f>
        <v>22594.28571</v>
      </c>
      <c r="I84" s="16">
        <f t="shared" si="88"/>
        <v>376.5714286</v>
      </c>
      <c r="J84" s="31"/>
      <c r="K84" s="31"/>
      <c r="L84" s="31"/>
      <c r="M84" s="31"/>
      <c r="N84" s="31"/>
      <c r="O84" s="31"/>
      <c r="P84" s="31"/>
      <c r="Q84" s="31"/>
    </row>
    <row r="85">
      <c r="A85" s="9">
        <v>84.0</v>
      </c>
      <c r="B85" s="33">
        <v>10200.0</v>
      </c>
      <c r="C85" s="11">
        <v>5.0</v>
      </c>
      <c r="D85" s="27">
        <f t="shared" si="6"/>
        <v>405600</v>
      </c>
      <c r="E85" s="12">
        <f t="shared" si="7"/>
        <v>229</v>
      </c>
      <c r="F85" s="13">
        <f t="shared" si="3"/>
        <v>582.8571429</v>
      </c>
      <c r="G85" s="14">
        <f t="shared" si="4"/>
        <v>9.714285714</v>
      </c>
      <c r="H85" s="15">
        <f t="shared" ref="H85:I85" si="89">F85+H84</f>
        <v>23177.14286</v>
      </c>
      <c r="I85" s="16">
        <f t="shared" si="89"/>
        <v>386.2857143</v>
      </c>
      <c r="J85" s="31"/>
      <c r="K85" s="31"/>
      <c r="L85" s="31"/>
      <c r="M85" s="31"/>
      <c r="N85" s="31"/>
      <c r="O85" s="31"/>
      <c r="P85" s="31"/>
      <c r="Q85" s="31"/>
    </row>
    <row r="86">
      <c r="A86" s="9">
        <v>85.0</v>
      </c>
      <c r="B86" s="33">
        <v>10200.0</v>
      </c>
      <c r="C86" s="11">
        <v>5.0</v>
      </c>
      <c r="D86" s="27">
        <f t="shared" si="6"/>
        <v>415800</v>
      </c>
      <c r="E86" s="12">
        <f t="shared" si="7"/>
        <v>234</v>
      </c>
      <c r="F86" s="13">
        <f t="shared" si="3"/>
        <v>582.8571429</v>
      </c>
      <c r="G86" s="14">
        <f t="shared" si="4"/>
        <v>9.714285714</v>
      </c>
      <c r="H86" s="15">
        <f t="shared" ref="H86:I86" si="90">F86+H85</f>
        <v>23760</v>
      </c>
      <c r="I86" s="16">
        <f t="shared" si="90"/>
        <v>396</v>
      </c>
      <c r="J86" s="31"/>
      <c r="K86" s="31"/>
      <c r="L86" s="31"/>
      <c r="M86" s="31"/>
      <c r="N86" s="31"/>
      <c r="O86" s="31"/>
      <c r="P86" s="31"/>
      <c r="Q86" s="31"/>
    </row>
    <row r="87">
      <c r="A87" s="9">
        <v>86.0</v>
      </c>
      <c r="B87" s="33">
        <v>10200.0</v>
      </c>
      <c r="C87" s="11">
        <v>6.0</v>
      </c>
      <c r="D87" s="27">
        <f t="shared" si="6"/>
        <v>426000</v>
      </c>
      <c r="E87" s="12">
        <f t="shared" si="7"/>
        <v>240</v>
      </c>
      <c r="F87" s="13">
        <f t="shared" si="3"/>
        <v>582.8571429</v>
      </c>
      <c r="G87" s="14">
        <f t="shared" si="4"/>
        <v>9.714285714</v>
      </c>
      <c r="H87" s="15">
        <f t="shared" ref="H87:I87" si="91">F87+H86</f>
        <v>24342.85714</v>
      </c>
      <c r="I87" s="16">
        <f t="shared" si="91"/>
        <v>405.7142857</v>
      </c>
      <c r="J87" s="31"/>
      <c r="K87" s="31"/>
      <c r="L87" s="31"/>
      <c r="M87" s="31"/>
      <c r="N87" s="31"/>
      <c r="O87" s="31"/>
      <c r="P87" s="31"/>
      <c r="Q87" s="31"/>
    </row>
    <row r="88">
      <c r="A88" s="9">
        <v>87.0</v>
      </c>
      <c r="B88" s="33">
        <v>13800.0</v>
      </c>
      <c r="C88" s="11">
        <v>6.0</v>
      </c>
      <c r="D88" s="27">
        <f t="shared" si="6"/>
        <v>439800</v>
      </c>
      <c r="E88" s="12">
        <f t="shared" si="7"/>
        <v>246</v>
      </c>
      <c r="F88" s="13">
        <f t="shared" si="3"/>
        <v>788.5714286</v>
      </c>
      <c r="G88" s="14">
        <f t="shared" si="4"/>
        <v>13.14285714</v>
      </c>
      <c r="H88" s="15">
        <f t="shared" ref="H88:I88" si="92">F88+H87</f>
        <v>25131.42857</v>
      </c>
      <c r="I88" s="16">
        <f t="shared" si="92"/>
        <v>418.8571429</v>
      </c>
      <c r="J88" s="31"/>
      <c r="K88" s="31"/>
      <c r="L88" s="31"/>
      <c r="M88" s="31"/>
      <c r="N88" s="31"/>
      <c r="O88" s="31"/>
      <c r="P88" s="31"/>
      <c r="Q88" s="31"/>
    </row>
    <row r="89">
      <c r="A89" s="9">
        <v>88.0</v>
      </c>
      <c r="B89" s="33">
        <v>13800.0</v>
      </c>
      <c r="C89" s="11">
        <v>6.0</v>
      </c>
      <c r="D89" s="27">
        <f t="shared" si="6"/>
        <v>453600</v>
      </c>
      <c r="E89" s="12">
        <f t="shared" si="7"/>
        <v>252</v>
      </c>
      <c r="F89" s="13">
        <f t="shared" si="3"/>
        <v>788.5714286</v>
      </c>
      <c r="G89" s="14">
        <f t="shared" si="4"/>
        <v>13.14285714</v>
      </c>
      <c r="H89" s="15">
        <f t="shared" ref="H89:I89" si="93">F89+H88</f>
        <v>25920</v>
      </c>
      <c r="I89" s="16">
        <f t="shared" si="93"/>
        <v>432</v>
      </c>
      <c r="J89" s="31"/>
      <c r="K89" s="31"/>
      <c r="L89" s="31"/>
      <c r="M89" s="31"/>
      <c r="N89" s="31"/>
      <c r="O89" s="31"/>
      <c r="P89" s="31"/>
      <c r="Q89" s="31"/>
    </row>
    <row r="90">
      <c r="A90" s="9">
        <v>89.0</v>
      </c>
      <c r="B90" s="33">
        <v>13800.0</v>
      </c>
      <c r="C90" s="11">
        <v>6.0</v>
      </c>
      <c r="D90" s="27">
        <f t="shared" si="6"/>
        <v>467400</v>
      </c>
      <c r="E90" s="12">
        <f t="shared" si="7"/>
        <v>258</v>
      </c>
      <c r="F90" s="13">
        <f t="shared" si="3"/>
        <v>788.5714286</v>
      </c>
      <c r="G90" s="14">
        <f t="shared" si="4"/>
        <v>13.14285714</v>
      </c>
      <c r="H90" s="15">
        <f t="shared" ref="H90:I90" si="94">F90+H89</f>
        <v>26708.57143</v>
      </c>
      <c r="I90" s="16">
        <f t="shared" si="94"/>
        <v>445.1428571</v>
      </c>
      <c r="J90" s="31"/>
      <c r="K90" s="31"/>
      <c r="L90" s="31"/>
      <c r="M90" s="31"/>
      <c r="N90" s="31"/>
      <c r="O90" s="31"/>
      <c r="P90" s="31"/>
      <c r="Q90" s="31"/>
    </row>
    <row r="91">
      <c r="A91" s="9">
        <v>90.0</v>
      </c>
      <c r="B91" s="33">
        <v>13800.0</v>
      </c>
      <c r="C91" s="11">
        <v>6.0</v>
      </c>
      <c r="D91" s="27">
        <f t="shared" si="6"/>
        <v>481200</v>
      </c>
      <c r="E91" s="12">
        <f t="shared" si="7"/>
        <v>264</v>
      </c>
      <c r="F91" s="13">
        <f t="shared" si="3"/>
        <v>788.5714286</v>
      </c>
      <c r="G91" s="14">
        <f t="shared" si="4"/>
        <v>13.14285714</v>
      </c>
      <c r="H91" s="15">
        <f t="shared" ref="H91:I91" si="95">F91+H90</f>
        <v>27497.14286</v>
      </c>
      <c r="I91" s="16">
        <f t="shared" si="95"/>
        <v>458.2857143</v>
      </c>
      <c r="J91" s="31"/>
      <c r="K91" s="31"/>
      <c r="L91" s="31"/>
      <c r="M91" s="31"/>
      <c r="N91" s="31"/>
      <c r="O91" s="31"/>
      <c r="P91" s="31"/>
      <c r="Q91" s="31"/>
    </row>
    <row r="92">
      <c r="A92" s="9">
        <v>91.0</v>
      </c>
      <c r="B92" s="33">
        <v>13800.0</v>
      </c>
      <c r="C92" s="11">
        <v>6.0</v>
      </c>
      <c r="D92" s="27">
        <f t="shared" si="6"/>
        <v>495000</v>
      </c>
      <c r="E92" s="12">
        <f t="shared" si="7"/>
        <v>270</v>
      </c>
      <c r="F92" s="13">
        <f t="shared" si="3"/>
        <v>788.5714286</v>
      </c>
      <c r="G92" s="14">
        <f t="shared" si="4"/>
        <v>13.14285714</v>
      </c>
      <c r="H92" s="15">
        <f t="shared" ref="H92:I92" si="96">F92+H91</f>
        <v>28285.71429</v>
      </c>
      <c r="I92" s="16">
        <f t="shared" si="96"/>
        <v>471.4285714</v>
      </c>
      <c r="J92" s="31"/>
      <c r="K92" s="31"/>
      <c r="L92" s="31"/>
      <c r="M92" s="31"/>
      <c r="N92" s="31"/>
      <c r="O92" s="31"/>
      <c r="P92" s="31"/>
      <c r="Q92" s="31"/>
    </row>
    <row r="93">
      <c r="A93" s="9">
        <v>92.0</v>
      </c>
      <c r="B93" s="33">
        <v>13800.0</v>
      </c>
      <c r="C93" s="11">
        <v>6.0</v>
      </c>
      <c r="D93" s="27">
        <f t="shared" si="6"/>
        <v>508800</v>
      </c>
      <c r="E93" s="12">
        <f t="shared" si="7"/>
        <v>276</v>
      </c>
      <c r="F93" s="13">
        <f t="shared" si="3"/>
        <v>788.5714286</v>
      </c>
      <c r="G93" s="14">
        <f t="shared" si="4"/>
        <v>13.14285714</v>
      </c>
      <c r="H93" s="15">
        <f t="shared" ref="H93:I93" si="97">F93+H92</f>
        <v>29074.28571</v>
      </c>
      <c r="I93" s="16">
        <f t="shared" si="97"/>
        <v>484.5714286</v>
      </c>
      <c r="J93" s="31"/>
      <c r="K93" s="31"/>
      <c r="L93" s="31"/>
      <c r="M93" s="31"/>
      <c r="N93" s="31"/>
      <c r="O93" s="31"/>
      <c r="P93" s="31"/>
      <c r="Q93" s="31"/>
    </row>
    <row r="94">
      <c r="A94" s="9">
        <v>93.0</v>
      </c>
      <c r="B94" s="33">
        <v>13800.0</v>
      </c>
      <c r="C94" s="11">
        <v>6.0</v>
      </c>
      <c r="D94" s="27">
        <f t="shared" si="6"/>
        <v>522600</v>
      </c>
      <c r="E94" s="12">
        <f t="shared" si="7"/>
        <v>282</v>
      </c>
      <c r="F94" s="13">
        <f t="shared" si="3"/>
        <v>788.5714286</v>
      </c>
      <c r="G94" s="14">
        <f t="shared" si="4"/>
        <v>13.14285714</v>
      </c>
      <c r="H94" s="15">
        <f t="shared" ref="H94:I94" si="98">F94+H93</f>
        <v>29862.85714</v>
      </c>
      <c r="I94" s="16">
        <f t="shared" si="98"/>
        <v>497.7142857</v>
      </c>
      <c r="J94" s="31"/>
      <c r="K94" s="31"/>
      <c r="L94" s="31"/>
      <c r="M94" s="31"/>
      <c r="N94" s="31"/>
      <c r="O94" s="31"/>
      <c r="P94" s="31"/>
      <c r="Q94" s="31"/>
    </row>
    <row r="95">
      <c r="A95" s="9">
        <v>94.0</v>
      </c>
      <c r="B95" s="33">
        <v>13800.0</v>
      </c>
      <c r="C95" s="11">
        <v>6.0</v>
      </c>
      <c r="D95" s="27">
        <f t="shared" si="6"/>
        <v>536400</v>
      </c>
      <c r="E95" s="12">
        <f t="shared" si="7"/>
        <v>288</v>
      </c>
      <c r="F95" s="13">
        <f t="shared" si="3"/>
        <v>788.5714286</v>
      </c>
      <c r="G95" s="14">
        <f t="shared" si="4"/>
        <v>13.14285714</v>
      </c>
      <c r="H95" s="15">
        <f t="shared" ref="H95:I95" si="99">F95+H94</f>
        <v>30651.42857</v>
      </c>
      <c r="I95" s="16">
        <f t="shared" si="99"/>
        <v>510.8571429</v>
      </c>
      <c r="J95" s="31"/>
      <c r="K95" s="31"/>
      <c r="L95" s="31"/>
      <c r="M95" s="31"/>
      <c r="N95" s="31"/>
      <c r="O95" s="31"/>
      <c r="P95" s="31"/>
      <c r="Q95" s="31"/>
    </row>
    <row r="96">
      <c r="A96" s="9">
        <v>95.0</v>
      </c>
      <c r="B96" s="33">
        <v>13800.0</v>
      </c>
      <c r="C96" s="11">
        <v>6.0</v>
      </c>
      <c r="D96" s="27">
        <f t="shared" si="6"/>
        <v>550200</v>
      </c>
      <c r="E96" s="12">
        <f t="shared" si="7"/>
        <v>294</v>
      </c>
      <c r="F96" s="13">
        <f t="shared" si="3"/>
        <v>788.5714286</v>
      </c>
      <c r="G96" s="14">
        <f t="shared" si="4"/>
        <v>13.14285714</v>
      </c>
      <c r="H96" s="15">
        <f t="shared" ref="H96:I96" si="100">F96+H95</f>
        <v>31440</v>
      </c>
      <c r="I96" s="16">
        <f t="shared" si="100"/>
        <v>524</v>
      </c>
      <c r="J96" s="31"/>
      <c r="K96" s="31"/>
      <c r="L96" s="31"/>
      <c r="M96" s="31"/>
      <c r="N96" s="31"/>
      <c r="O96" s="31"/>
      <c r="P96" s="31"/>
      <c r="Q96" s="31"/>
    </row>
    <row r="97">
      <c r="A97" s="9">
        <v>96.0</v>
      </c>
      <c r="B97" s="33">
        <v>13800.0</v>
      </c>
      <c r="C97" s="11">
        <v>6.0</v>
      </c>
      <c r="D97" s="27">
        <f t="shared" si="6"/>
        <v>564000</v>
      </c>
      <c r="E97" s="12">
        <f t="shared" si="7"/>
        <v>300</v>
      </c>
      <c r="F97" s="13">
        <f t="shared" si="3"/>
        <v>788.5714286</v>
      </c>
      <c r="G97" s="14">
        <f t="shared" si="4"/>
        <v>13.14285714</v>
      </c>
      <c r="H97" s="15">
        <f t="shared" ref="H97:I97" si="101">F97+H96</f>
        <v>32228.57143</v>
      </c>
      <c r="I97" s="16">
        <f t="shared" si="101"/>
        <v>537.1428571</v>
      </c>
      <c r="J97" s="31"/>
      <c r="K97" s="31"/>
      <c r="L97" s="31"/>
      <c r="M97" s="31"/>
      <c r="N97" s="31"/>
      <c r="O97" s="31"/>
      <c r="P97" s="31"/>
      <c r="Q97" s="31"/>
    </row>
    <row r="98">
      <c r="A98" s="9">
        <v>97.0</v>
      </c>
      <c r="B98" s="33">
        <v>13800.0</v>
      </c>
      <c r="C98" s="11">
        <v>6.0</v>
      </c>
      <c r="D98" s="27">
        <f t="shared" si="6"/>
        <v>577800</v>
      </c>
      <c r="E98" s="12">
        <f t="shared" si="7"/>
        <v>306</v>
      </c>
      <c r="F98" s="13">
        <f t="shared" si="3"/>
        <v>788.5714286</v>
      </c>
      <c r="G98" s="14">
        <f t="shared" si="4"/>
        <v>13.14285714</v>
      </c>
      <c r="H98" s="15">
        <f t="shared" ref="H98:I98" si="102">F98+H97</f>
        <v>33017.14286</v>
      </c>
      <c r="I98" s="16">
        <f t="shared" si="102"/>
        <v>550.2857143</v>
      </c>
      <c r="J98" s="31"/>
      <c r="K98" s="31"/>
      <c r="L98" s="31"/>
      <c r="M98" s="31"/>
      <c r="N98" s="31"/>
      <c r="O98" s="31"/>
      <c r="P98" s="31"/>
      <c r="Q98" s="31"/>
    </row>
    <row r="99">
      <c r="A99" s="9">
        <v>98.0</v>
      </c>
      <c r="B99" s="33">
        <v>13800.0</v>
      </c>
      <c r="C99" s="11">
        <v>6.0</v>
      </c>
      <c r="D99" s="27">
        <f t="shared" si="6"/>
        <v>591600</v>
      </c>
      <c r="E99" s="12">
        <f t="shared" si="7"/>
        <v>312</v>
      </c>
      <c r="F99" s="13">
        <f t="shared" si="3"/>
        <v>788.5714286</v>
      </c>
      <c r="G99" s="14">
        <f t="shared" si="4"/>
        <v>13.14285714</v>
      </c>
      <c r="H99" s="15">
        <f t="shared" ref="H99:I99" si="103">F99+H98</f>
        <v>33805.71429</v>
      </c>
      <c r="I99" s="16">
        <f t="shared" si="103"/>
        <v>563.4285714</v>
      </c>
      <c r="J99" s="31"/>
      <c r="K99" s="31"/>
      <c r="L99" s="31"/>
      <c r="M99" s="31"/>
      <c r="N99" s="31"/>
      <c r="O99" s="31"/>
      <c r="P99" s="31"/>
      <c r="Q99" s="31"/>
    </row>
    <row r="100">
      <c r="A100" s="9">
        <v>99.0</v>
      </c>
      <c r="B100" s="33">
        <v>13800.0</v>
      </c>
      <c r="C100" s="11">
        <v>6.0</v>
      </c>
      <c r="D100" s="27">
        <f t="shared" si="6"/>
        <v>605400</v>
      </c>
      <c r="E100" s="12">
        <f t="shared" si="7"/>
        <v>318</v>
      </c>
      <c r="F100" s="13">
        <f t="shared" si="3"/>
        <v>788.5714286</v>
      </c>
      <c r="G100" s="14">
        <f t="shared" si="4"/>
        <v>13.14285714</v>
      </c>
      <c r="H100" s="15">
        <f t="shared" ref="H100:I100" si="104">F100+H99</f>
        <v>34594.28571</v>
      </c>
      <c r="I100" s="16">
        <f t="shared" si="104"/>
        <v>576.5714286</v>
      </c>
      <c r="J100" s="31"/>
      <c r="K100" s="31"/>
      <c r="L100" s="31"/>
      <c r="M100" s="31"/>
      <c r="N100" s="31"/>
      <c r="O100" s="31"/>
      <c r="P100" s="31"/>
      <c r="Q100" s="31"/>
    </row>
    <row r="101">
      <c r="A101" s="9">
        <v>100.0</v>
      </c>
      <c r="B101" s="33">
        <v>13800.0</v>
      </c>
      <c r="C101" s="11">
        <v>6.0</v>
      </c>
      <c r="D101" s="27">
        <f t="shared" si="6"/>
        <v>619200</v>
      </c>
      <c r="E101" s="12">
        <f t="shared" si="7"/>
        <v>324</v>
      </c>
      <c r="F101" s="13">
        <f t="shared" si="3"/>
        <v>788.5714286</v>
      </c>
      <c r="G101" s="14">
        <f t="shared" si="4"/>
        <v>13.14285714</v>
      </c>
      <c r="H101" s="15">
        <f t="shared" ref="H101:I101" si="105">F101+H100</f>
        <v>35382.85714</v>
      </c>
      <c r="I101" s="16">
        <f t="shared" si="105"/>
        <v>589.7142857</v>
      </c>
      <c r="J101" s="31"/>
      <c r="K101" s="31"/>
      <c r="L101" s="31"/>
      <c r="M101" s="31"/>
      <c r="N101" s="31"/>
      <c r="O101" s="31"/>
      <c r="P101" s="31"/>
      <c r="Q101" s="31"/>
    </row>
    <row r="102">
      <c r="A102" s="34"/>
      <c r="B102" s="33"/>
      <c r="C102" s="11"/>
      <c r="D102" s="9"/>
      <c r="E102" s="34"/>
      <c r="F102" s="35"/>
      <c r="G102" s="36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>
      <c r="A103" s="34"/>
      <c r="B103" s="31"/>
      <c r="C103" s="34"/>
      <c r="D103" s="34"/>
      <c r="E103" s="34"/>
      <c r="F103" s="35"/>
      <c r="G103" s="36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>
      <c r="A104" s="34"/>
      <c r="B104" s="31"/>
      <c r="C104" s="34"/>
      <c r="D104" s="34"/>
      <c r="E104" s="34"/>
      <c r="F104" s="35"/>
      <c r="G104" s="36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>
      <c r="A105" s="34"/>
      <c r="B105" s="31"/>
      <c r="C105" s="34"/>
      <c r="D105" s="34"/>
      <c r="E105" s="34"/>
      <c r="F105" s="35"/>
      <c r="G105" s="36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>
      <c r="A106" s="34"/>
      <c r="B106" s="31"/>
      <c r="C106" s="34"/>
      <c r="D106" s="34"/>
      <c r="E106" s="34"/>
      <c r="F106" s="35"/>
      <c r="G106" s="36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>
      <c r="A107" s="34"/>
      <c r="B107" s="31"/>
      <c r="C107" s="34"/>
      <c r="D107" s="34"/>
      <c r="E107" s="34"/>
      <c r="F107" s="35"/>
      <c r="G107" s="36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>
      <c r="A108" s="34"/>
      <c r="B108" s="31"/>
      <c r="C108" s="34"/>
      <c r="D108" s="34"/>
      <c r="E108" s="34"/>
      <c r="F108" s="35"/>
      <c r="G108" s="36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>
      <c r="A109" s="34"/>
      <c r="B109" s="31"/>
      <c r="C109" s="34"/>
      <c r="D109" s="34"/>
      <c r="E109" s="34"/>
      <c r="F109" s="35"/>
      <c r="G109" s="36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>
      <c r="A110" s="34"/>
      <c r="B110" s="31"/>
      <c r="C110" s="34"/>
      <c r="D110" s="34"/>
      <c r="E110" s="34"/>
      <c r="F110" s="35"/>
      <c r="G110" s="36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>
      <c r="A111" s="34"/>
      <c r="B111" s="31"/>
      <c r="C111" s="34"/>
      <c r="D111" s="34"/>
      <c r="E111" s="34"/>
      <c r="F111" s="35"/>
      <c r="G111" s="36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>
      <c r="A112" s="34"/>
      <c r="B112" s="31"/>
      <c r="C112" s="34"/>
      <c r="D112" s="34"/>
      <c r="E112" s="34"/>
      <c r="F112" s="35"/>
      <c r="G112" s="36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>
      <c r="A113" s="34"/>
      <c r="B113" s="31"/>
      <c r="C113" s="34"/>
      <c r="D113" s="34"/>
      <c r="E113" s="34"/>
      <c r="F113" s="35"/>
      <c r="G113" s="36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>
      <c r="A114" s="34"/>
      <c r="B114" s="31"/>
      <c r="C114" s="34"/>
      <c r="D114" s="34"/>
      <c r="E114" s="34"/>
      <c r="F114" s="35"/>
      <c r="G114" s="36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>
      <c r="A115" s="34"/>
      <c r="B115" s="31"/>
      <c r="C115" s="34"/>
      <c r="D115" s="34"/>
      <c r="E115" s="34"/>
      <c r="F115" s="35"/>
      <c r="G115" s="36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>
      <c r="A116" s="34"/>
      <c r="B116" s="31"/>
      <c r="C116" s="34"/>
      <c r="D116" s="34"/>
      <c r="E116" s="34"/>
      <c r="F116" s="35"/>
      <c r="G116" s="36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>
      <c r="A117" s="34"/>
      <c r="B117" s="31"/>
      <c r="C117" s="34"/>
      <c r="D117" s="34"/>
      <c r="E117" s="34"/>
      <c r="F117" s="35"/>
      <c r="G117" s="36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>
      <c r="A118" s="34"/>
      <c r="B118" s="31"/>
      <c r="C118" s="34"/>
      <c r="D118" s="34"/>
      <c r="E118" s="34"/>
      <c r="F118" s="35"/>
      <c r="G118" s="36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>
      <c r="A119" s="34"/>
      <c r="B119" s="31"/>
      <c r="C119" s="34"/>
      <c r="D119" s="34"/>
      <c r="E119" s="34"/>
      <c r="F119" s="35"/>
      <c r="G119" s="36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>
      <c r="A120" s="34"/>
      <c r="B120" s="31"/>
      <c r="C120" s="34"/>
      <c r="D120" s="34"/>
      <c r="E120" s="34"/>
      <c r="F120" s="35"/>
      <c r="G120" s="36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>
      <c r="A121" s="34"/>
      <c r="B121" s="31"/>
      <c r="C121" s="34"/>
      <c r="D121" s="34"/>
      <c r="E121" s="34"/>
      <c r="F121" s="35"/>
      <c r="G121" s="36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  <row r="999">
      <c r="B999" s="31"/>
    </row>
    <row r="1000">
      <c r="B1000" s="31"/>
    </row>
  </sheetData>
  <dataValidations>
    <dataValidation type="list" allowBlank="1" showErrorMessage="1" sqref="K6">
      <formula1>"True,False"</formula1>
    </dataValidation>
    <dataValidation type="list" allowBlank="1" showErrorMessage="1" sqref="J6">
      <formula1>"Story Mode,Battle Mode,Tournament Mode"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4.88"/>
    <col customWidth="1" min="4" max="4" width="15.0"/>
  </cols>
  <sheetData>
    <row r="1">
      <c r="A1" s="37" t="s">
        <v>33</v>
      </c>
      <c r="B1" s="38"/>
      <c r="C1" s="39"/>
      <c r="D1" s="39"/>
    </row>
    <row r="2">
      <c r="A2" s="40" t="s">
        <v>34</v>
      </c>
      <c r="B2" s="41">
        <f>IF(D2 = "Inactive", 20, 40)</f>
        <v>20</v>
      </c>
      <c r="C2" s="42" t="s">
        <v>35</v>
      </c>
      <c r="D2" s="43" t="s">
        <v>36</v>
      </c>
    </row>
    <row r="3">
      <c r="A3" s="40" t="s">
        <v>37</v>
      </c>
      <c r="B3" s="41">
        <f>IF(D2 = "Inactive", 5, 10)</f>
        <v>5</v>
      </c>
      <c r="C3" s="42" t="s">
        <v>38</v>
      </c>
      <c r="D3" s="44">
        <v>18.0</v>
      </c>
    </row>
    <row r="4">
      <c r="A4" s="37" t="s">
        <v>39</v>
      </c>
      <c r="B4" s="45">
        <f>B2 + (B3 * 3)</f>
        <v>35</v>
      </c>
      <c r="C4" s="46"/>
      <c r="D4" s="47"/>
    </row>
    <row r="5">
      <c r="A5" s="48" t="s">
        <v>40</v>
      </c>
      <c r="B5" s="39">
        <f>B4 * D3</f>
        <v>630</v>
      </c>
      <c r="C5" s="38"/>
      <c r="D5" s="49"/>
    </row>
    <row r="7">
      <c r="A7" s="50" t="s">
        <v>41</v>
      </c>
    </row>
    <row r="8">
      <c r="A8" s="51" t="s">
        <v>42</v>
      </c>
      <c r="B8" s="52">
        <f>IF(AND(D8="Inactive", D9="1st Place"), 5000, IF(AND(D8="Inactive", D9="Top 10"), 2500, IF(AND(D8="Inactive", D9="Top 100"), 1000, IF(AND(D8="Active", D9="1st Place"), 10000, IF(AND(D8="Active", D9="Top 10"), 5000, IF(AND(D8="Active", D9="Top 100"), 2000, 0))))))</f>
        <v>5000</v>
      </c>
      <c r="C8" s="53" t="s">
        <v>35</v>
      </c>
      <c r="D8" s="54" t="s">
        <v>36</v>
      </c>
    </row>
    <row r="9">
      <c r="A9" s="38"/>
      <c r="B9" s="39"/>
      <c r="C9" s="55" t="s">
        <v>43</v>
      </c>
      <c r="D9" s="56" t="s">
        <v>44</v>
      </c>
    </row>
    <row r="11">
      <c r="A11" s="50" t="s">
        <v>45</v>
      </c>
    </row>
    <row r="12">
      <c r="A12" s="51" t="s">
        <v>42</v>
      </c>
      <c r="B12" s="52">
        <f>IF(AND(D12="Inactive", D13="Win"), 100, IF(AND(D12="Inactive", D13="Loss"), 50, IF(AND(D12="Active", D13="Win"), 200, 100)))</f>
        <v>100</v>
      </c>
      <c r="C12" s="53" t="s">
        <v>35</v>
      </c>
      <c r="D12" s="54" t="s">
        <v>36</v>
      </c>
    </row>
    <row r="13">
      <c r="A13" s="38"/>
      <c r="B13" s="39"/>
      <c r="C13" s="55" t="s">
        <v>46</v>
      </c>
      <c r="D13" s="56" t="s">
        <v>27</v>
      </c>
    </row>
  </sheetData>
  <dataValidations>
    <dataValidation type="list" allowBlank="1" showErrorMessage="1" sqref="D13">
      <formula1>"Win,Loss"</formula1>
    </dataValidation>
    <dataValidation type="list" allowBlank="1" showErrorMessage="1" sqref="D2 D8 D12">
      <formula1>"Inactive,Active"</formula1>
    </dataValidation>
    <dataValidation type="list" allowBlank="1" showErrorMessage="1" sqref="D9">
      <formula1>"1st Place,Top 10,Top 100,Below 100th"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7" max="7" width="24.75"/>
    <col customWidth="1" min="8" max="8" width="20.88"/>
    <col customWidth="1" min="9" max="9" width="25.63"/>
    <col customWidth="1" min="12" max="12" width="19.0"/>
    <col customWidth="1" min="13" max="13" width="16.63"/>
    <col customWidth="1" min="14" max="14" width="14.13"/>
    <col customWidth="1" min="16" max="16" width="39.13"/>
    <col customWidth="1" min="17" max="17" width="14.0"/>
  </cols>
  <sheetData>
    <row r="1">
      <c r="A1" s="7" t="s">
        <v>47</v>
      </c>
      <c r="B1" s="7" t="s">
        <v>1</v>
      </c>
      <c r="C1" s="1" t="s">
        <v>2</v>
      </c>
      <c r="D1" s="4" t="s">
        <v>48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7" t="s">
        <v>9</v>
      </c>
      <c r="K1" s="8" t="s">
        <v>49</v>
      </c>
      <c r="L1" s="8" t="s">
        <v>11</v>
      </c>
      <c r="M1" s="1" t="s">
        <v>50</v>
      </c>
      <c r="N1" s="1" t="s">
        <v>51</v>
      </c>
      <c r="O1" s="1" t="s">
        <v>52</v>
      </c>
      <c r="P1" s="1" t="s">
        <v>15</v>
      </c>
      <c r="Q1" s="7" t="s">
        <v>16</v>
      </c>
    </row>
    <row r="2">
      <c r="A2" s="9">
        <v>1.0</v>
      </c>
      <c r="B2" s="11">
        <v>0.0</v>
      </c>
      <c r="C2" s="11">
        <v>0.0</v>
      </c>
      <c r="D2" s="12">
        <f t="shared" ref="D2:E2" si="1">B2</f>
        <v>0</v>
      </c>
      <c r="E2" s="12">
        <f t="shared" si="1"/>
        <v>0</v>
      </c>
      <c r="F2" s="13">
        <f t="shared" ref="F2:F101" si="3">B2/if($J$6 = "Story Mode",$K$2, if($J$6 = "Battle Mode" ,$K$3, if($J$6 = "Tournament Mode",$K$4,1 )))*(60)</f>
        <v>0</v>
      </c>
      <c r="G2" s="14">
        <f t="shared" ref="G2:G101" si="4">B2/if($J$6 = "Story Mode",$K$2, if($J$6 = "Battle Mode" ,$K$3, if($J$6 = "Tournament Mode",$K$4,1 )))</f>
        <v>0</v>
      </c>
      <c r="H2" s="15">
        <f t="shared" ref="H2:I2" si="2">F2</f>
        <v>0</v>
      </c>
      <c r="I2" s="16">
        <f t="shared" si="2"/>
        <v>0</v>
      </c>
      <c r="J2" s="17" t="s">
        <v>17</v>
      </c>
      <c r="K2" s="18">
        <f>M2*Q2*if($K$6 = TRUE, 2, 1)</f>
        <v>1050</v>
      </c>
      <c r="L2" s="19" t="s">
        <v>18</v>
      </c>
      <c r="M2" s="20">
        <f>O2+(N2*3)</f>
        <v>35</v>
      </c>
      <c r="N2" s="20">
        <v>5.0</v>
      </c>
      <c r="O2" s="20">
        <v>20.0</v>
      </c>
      <c r="P2" s="20">
        <v>2.0</v>
      </c>
      <c r="Q2" s="21">
        <f>60/P2</f>
        <v>30</v>
      </c>
    </row>
    <row r="3">
      <c r="A3" s="9">
        <v>2.0</v>
      </c>
      <c r="B3" s="11">
        <v>50.0</v>
      </c>
      <c r="C3" s="9">
        <v>1.0</v>
      </c>
      <c r="D3" s="12">
        <f t="shared" ref="D3:D101" si="6">D2+B3</f>
        <v>50</v>
      </c>
      <c r="E3" s="12">
        <f t="shared" ref="E3:E101" si="7">C3+E2</f>
        <v>1</v>
      </c>
      <c r="F3" s="13">
        <f t="shared" si="3"/>
        <v>2.857142857</v>
      </c>
      <c r="G3" s="14">
        <f t="shared" si="4"/>
        <v>0.04761904762</v>
      </c>
      <c r="H3" s="15">
        <f t="shared" ref="H3:I3" si="5">F3+H2</f>
        <v>2.857142857</v>
      </c>
      <c r="I3" s="16">
        <f t="shared" si="5"/>
        <v>0.04761904762</v>
      </c>
      <c r="J3" s="17" t="s">
        <v>19</v>
      </c>
      <c r="K3" s="18">
        <f>M4*Q4*if($K$6 = TRUE, 2, 1)</f>
        <v>1500</v>
      </c>
      <c r="M3" s="22" t="s">
        <v>53</v>
      </c>
      <c r="N3" s="23" t="s">
        <v>54</v>
      </c>
      <c r="O3" s="24"/>
      <c r="P3" s="23" t="s">
        <v>22</v>
      </c>
      <c r="Q3" s="25"/>
    </row>
    <row r="4">
      <c r="A4" s="9">
        <v>3.0</v>
      </c>
      <c r="B4" s="57">
        <v>75.0</v>
      </c>
      <c r="C4" s="9">
        <v>1.0</v>
      </c>
      <c r="D4" s="27">
        <f t="shared" si="6"/>
        <v>125</v>
      </c>
      <c r="E4" s="12">
        <f t="shared" si="7"/>
        <v>2</v>
      </c>
      <c r="F4" s="13">
        <f t="shared" si="3"/>
        <v>4.285714286</v>
      </c>
      <c r="G4" s="14">
        <f t="shared" si="4"/>
        <v>0.07142857143</v>
      </c>
      <c r="H4" s="15">
        <f t="shared" ref="H4:I4" si="8">F4+H3</f>
        <v>7.142857143</v>
      </c>
      <c r="I4" s="16">
        <f t="shared" si="8"/>
        <v>0.119047619</v>
      </c>
      <c r="J4" s="17" t="s">
        <v>23</v>
      </c>
      <c r="K4" s="18">
        <f>M6*Q6*if($K$6 = TRUE, 2, 1)</f>
        <v>5000</v>
      </c>
      <c r="L4" s="28" t="s">
        <v>24</v>
      </c>
      <c r="M4" s="19">
        <v>100.0</v>
      </c>
      <c r="N4" s="19">
        <v>50.0</v>
      </c>
      <c r="O4" s="29"/>
      <c r="P4" s="19">
        <v>4.0</v>
      </c>
      <c r="Q4" s="21">
        <f>60/P4</f>
        <v>15</v>
      </c>
    </row>
    <row r="5">
      <c r="A5" s="9">
        <v>4.0</v>
      </c>
      <c r="B5" s="11">
        <v>100.0</v>
      </c>
      <c r="C5" s="9">
        <v>1.0</v>
      </c>
      <c r="D5" s="27">
        <f t="shared" si="6"/>
        <v>225</v>
      </c>
      <c r="E5" s="12">
        <f t="shared" si="7"/>
        <v>3</v>
      </c>
      <c r="F5" s="13">
        <f t="shared" si="3"/>
        <v>5.714285714</v>
      </c>
      <c r="G5" s="14">
        <f t="shared" si="4"/>
        <v>0.09523809524</v>
      </c>
      <c r="H5" s="15">
        <f t="shared" ref="H5:I5" si="9">F5+H4</f>
        <v>12.85714286</v>
      </c>
      <c r="I5" s="16">
        <f t="shared" si="9"/>
        <v>0.2142857143</v>
      </c>
      <c r="J5" s="30" t="s">
        <v>55</v>
      </c>
      <c r="K5" s="30" t="s">
        <v>26</v>
      </c>
      <c r="L5" s="31"/>
      <c r="M5" s="23" t="s">
        <v>27</v>
      </c>
      <c r="N5" s="23" t="s">
        <v>28</v>
      </c>
      <c r="O5" s="23" t="s">
        <v>29</v>
      </c>
      <c r="P5" s="23" t="s">
        <v>30</v>
      </c>
      <c r="Q5" s="31"/>
    </row>
    <row r="6">
      <c r="A6" s="9">
        <v>5.0</v>
      </c>
      <c r="B6" s="57">
        <v>125.0</v>
      </c>
      <c r="C6" s="9">
        <v>1.0</v>
      </c>
      <c r="D6" s="27">
        <f t="shared" si="6"/>
        <v>350</v>
      </c>
      <c r="E6" s="12">
        <f t="shared" si="7"/>
        <v>4</v>
      </c>
      <c r="F6" s="13">
        <f t="shared" si="3"/>
        <v>7.142857143</v>
      </c>
      <c r="G6" s="14">
        <f t="shared" si="4"/>
        <v>0.119047619</v>
      </c>
      <c r="H6" s="15">
        <f t="shared" ref="H6:I6" si="10">F6+H5</f>
        <v>20</v>
      </c>
      <c r="I6" s="16">
        <f t="shared" si="10"/>
        <v>0.3333333333</v>
      </c>
      <c r="J6" s="17" t="s">
        <v>17</v>
      </c>
      <c r="K6" s="30" t="b">
        <v>0</v>
      </c>
      <c r="L6" s="28" t="s">
        <v>31</v>
      </c>
      <c r="M6" s="19">
        <v>5000.0</v>
      </c>
      <c r="N6" s="19">
        <v>2500.0</v>
      </c>
      <c r="O6" s="19">
        <v>1000.0</v>
      </c>
      <c r="P6" s="19">
        <v>60.0</v>
      </c>
      <c r="Q6" s="32">
        <v>1.0</v>
      </c>
    </row>
    <row r="7">
      <c r="A7" s="9">
        <v>6.0</v>
      </c>
      <c r="B7" s="11">
        <v>150.0</v>
      </c>
      <c r="C7" s="9">
        <v>1.0</v>
      </c>
      <c r="D7" s="27">
        <f t="shared" si="6"/>
        <v>500</v>
      </c>
      <c r="E7" s="12">
        <f t="shared" si="7"/>
        <v>5</v>
      </c>
      <c r="F7" s="13">
        <f t="shared" si="3"/>
        <v>8.571428571</v>
      </c>
      <c r="G7" s="14">
        <f t="shared" si="4"/>
        <v>0.1428571429</v>
      </c>
      <c r="H7" s="15">
        <f t="shared" ref="H7:I7" si="11">F7+H6</f>
        <v>28.57142857</v>
      </c>
      <c r="I7" s="16">
        <f t="shared" si="11"/>
        <v>0.4761904762</v>
      </c>
      <c r="J7" s="31"/>
      <c r="K7" s="31"/>
      <c r="L7" s="31"/>
      <c r="M7" s="31"/>
      <c r="N7" s="31"/>
      <c r="O7" s="31"/>
      <c r="P7" s="30" t="s">
        <v>32</v>
      </c>
      <c r="Q7" s="31"/>
    </row>
    <row r="8">
      <c r="A8" s="9">
        <v>7.0</v>
      </c>
      <c r="B8" s="57">
        <v>175.0</v>
      </c>
      <c r="C8" s="9">
        <v>1.0</v>
      </c>
      <c r="D8" s="27">
        <f t="shared" si="6"/>
        <v>675</v>
      </c>
      <c r="E8" s="12">
        <f t="shared" si="7"/>
        <v>6</v>
      </c>
      <c r="F8" s="13">
        <f t="shared" si="3"/>
        <v>10</v>
      </c>
      <c r="G8" s="14">
        <f t="shared" si="4"/>
        <v>0.1666666667</v>
      </c>
      <c r="H8" s="15">
        <f t="shared" ref="H8:I8" si="12">F8+H7</f>
        <v>38.57142857</v>
      </c>
      <c r="I8" s="16">
        <f t="shared" si="12"/>
        <v>0.6428571429</v>
      </c>
      <c r="J8" s="31"/>
      <c r="K8" s="31"/>
      <c r="L8" s="31"/>
      <c r="M8" s="31"/>
      <c r="N8" s="31"/>
      <c r="O8" s="31"/>
      <c r="P8" s="31"/>
      <c r="Q8" s="31"/>
    </row>
    <row r="9">
      <c r="A9" s="9">
        <v>8.0</v>
      </c>
      <c r="B9" s="11">
        <v>200.0</v>
      </c>
      <c r="C9" s="9">
        <v>1.0</v>
      </c>
      <c r="D9" s="27">
        <f t="shared" si="6"/>
        <v>875</v>
      </c>
      <c r="E9" s="12">
        <f t="shared" si="7"/>
        <v>7</v>
      </c>
      <c r="F9" s="13">
        <f t="shared" si="3"/>
        <v>11.42857143</v>
      </c>
      <c r="G9" s="14">
        <f t="shared" si="4"/>
        <v>0.1904761905</v>
      </c>
      <c r="H9" s="15">
        <f t="shared" ref="H9:I9" si="13">F9+H8</f>
        <v>50</v>
      </c>
      <c r="I9" s="16">
        <f t="shared" si="13"/>
        <v>0.8333333333</v>
      </c>
      <c r="J9" s="31"/>
      <c r="K9" s="31"/>
      <c r="L9" s="31"/>
      <c r="M9" s="31"/>
      <c r="N9" s="31"/>
      <c r="O9" s="31"/>
      <c r="P9" s="31"/>
      <c r="Q9" s="31"/>
    </row>
    <row r="10">
      <c r="A10" s="9">
        <v>9.0</v>
      </c>
      <c r="B10" s="57">
        <v>225.0</v>
      </c>
      <c r="C10" s="9">
        <v>1.0</v>
      </c>
      <c r="D10" s="27">
        <f t="shared" si="6"/>
        <v>1100</v>
      </c>
      <c r="E10" s="12">
        <f t="shared" si="7"/>
        <v>8</v>
      </c>
      <c r="F10" s="13">
        <f t="shared" si="3"/>
        <v>12.85714286</v>
      </c>
      <c r="G10" s="14">
        <f t="shared" si="4"/>
        <v>0.2142857143</v>
      </c>
      <c r="H10" s="15">
        <f t="shared" ref="H10:I10" si="14">F10+H9</f>
        <v>62.85714286</v>
      </c>
      <c r="I10" s="16">
        <f t="shared" si="14"/>
        <v>1.047619048</v>
      </c>
      <c r="J10" s="31"/>
      <c r="K10" s="31"/>
      <c r="L10" s="31"/>
      <c r="M10" s="31"/>
      <c r="N10" s="31"/>
      <c r="O10" s="31"/>
      <c r="P10" s="31"/>
      <c r="Q10" s="31"/>
    </row>
    <row r="11">
      <c r="A11" s="9">
        <v>10.0</v>
      </c>
      <c r="B11" s="11">
        <v>250.0</v>
      </c>
      <c r="C11" s="9">
        <v>1.0</v>
      </c>
      <c r="D11" s="27">
        <f t="shared" si="6"/>
        <v>1350</v>
      </c>
      <c r="E11" s="12">
        <f t="shared" si="7"/>
        <v>9</v>
      </c>
      <c r="F11" s="13">
        <f t="shared" si="3"/>
        <v>14.28571429</v>
      </c>
      <c r="G11" s="14">
        <f t="shared" si="4"/>
        <v>0.2380952381</v>
      </c>
      <c r="H11" s="15">
        <f t="shared" ref="H11:I11" si="15">F11+H10</f>
        <v>77.14285714</v>
      </c>
      <c r="I11" s="16">
        <f t="shared" si="15"/>
        <v>1.285714286</v>
      </c>
      <c r="J11" s="31"/>
      <c r="K11" s="31"/>
      <c r="L11" s="31"/>
      <c r="M11" s="31"/>
      <c r="N11" s="31"/>
      <c r="O11" s="31"/>
      <c r="P11" s="31"/>
      <c r="Q11" s="31"/>
    </row>
    <row r="12">
      <c r="A12" s="9">
        <v>11.0</v>
      </c>
      <c r="B12" s="57">
        <v>275.0</v>
      </c>
      <c r="C12" s="9">
        <v>1.0</v>
      </c>
      <c r="D12" s="27">
        <f t="shared" si="6"/>
        <v>1625</v>
      </c>
      <c r="E12" s="12">
        <f t="shared" si="7"/>
        <v>10</v>
      </c>
      <c r="F12" s="13">
        <f t="shared" si="3"/>
        <v>15.71428571</v>
      </c>
      <c r="G12" s="14">
        <f t="shared" si="4"/>
        <v>0.2619047619</v>
      </c>
      <c r="H12" s="15">
        <f t="shared" ref="H12:I12" si="16">F12+H11</f>
        <v>92.85714286</v>
      </c>
      <c r="I12" s="16">
        <f t="shared" si="16"/>
        <v>1.547619048</v>
      </c>
      <c r="J12" s="31"/>
      <c r="K12" s="31"/>
      <c r="L12" s="31"/>
      <c r="M12" s="31"/>
      <c r="N12" s="31"/>
      <c r="O12" s="31"/>
      <c r="P12" s="31"/>
      <c r="Q12" s="31"/>
    </row>
    <row r="13">
      <c r="A13" s="9">
        <v>12.0</v>
      </c>
      <c r="B13" s="11">
        <v>300.0</v>
      </c>
      <c r="C13" s="9">
        <v>1.0</v>
      </c>
      <c r="D13" s="27">
        <f t="shared" si="6"/>
        <v>1925</v>
      </c>
      <c r="E13" s="12">
        <f t="shared" si="7"/>
        <v>11</v>
      </c>
      <c r="F13" s="13">
        <f t="shared" si="3"/>
        <v>17.14285714</v>
      </c>
      <c r="G13" s="14">
        <f t="shared" si="4"/>
        <v>0.2857142857</v>
      </c>
      <c r="H13" s="15">
        <f t="shared" ref="H13:I13" si="17">F13+H12</f>
        <v>110</v>
      </c>
      <c r="I13" s="16">
        <f t="shared" si="17"/>
        <v>1.833333333</v>
      </c>
      <c r="J13" s="31"/>
      <c r="K13" s="31"/>
      <c r="L13" s="31"/>
      <c r="M13" s="31"/>
      <c r="N13" s="31"/>
      <c r="O13" s="31"/>
      <c r="P13" s="31"/>
      <c r="Q13" s="31"/>
    </row>
    <row r="14">
      <c r="A14" s="9">
        <v>13.0</v>
      </c>
      <c r="B14" s="57">
        <v>325.0</v>
      </c>
      <c r="C14" s="9">
        <v>1.0</v>
      </c>
      <c r="D14" s="27">
        <f t="shared" si="6"/>
        <v>2250</v>
      </c>
      <c r="E14" s="12">
        <f t="shared" si="7"/>
        <v>12</v>
      </c>
      <c r="F14" s="13">
        <f t="shared" si="3"/>
        <v>18.57142857</v>
      </c>
      <c r="G14" s="14">
        <f t="shared" si="4"/>
        <v>0.3095238095</v>
      </c>
      <c r="H14" s="15">
        <f t="shared" ref="H14:I14" si="18">F14+H13</f>
        <v>128.5714286</v>
      </c>
      <c r="I14" s="16">
        <f t="shared" si="18"/>
        <v>2.142857143</v>
      </c>
      <c r="J14" s="31"/>
      <c r="K14" s="31"/>
      <c r="L14" s="31"/>
      <c r="M14" s="31"/>
      <c r="N14" s="31"/>
      <c r="O14" s="31"/>
      <c r="P14" s="31"/>
      <c r="Q14" s="31"/>
    </row>
    <row r="15">
      <c r="A15" s="9">
        <v>14.0</v>
      </c>
      <c r="B15" s="11">
        <v>350.0</v>
      </c>
      <c r="C15" s="9">
        <v>1.0</v>
      </c>
      <c r="D15" s="27">
        <f t="shared" si="6"/>
        <v>2600</v>
      </c>
      <c r="E15" s="12">
        <f t="shared" si="7"/>
        <v>13</v>
      </c>
      <c r="F15" s="13">
        <f t="shared" si="3"/>
        <v>20</v>
      </c>
      <c r="G15" s="14">
        <f t="shared" si="4"/>
        <v>0.3333333333</v>
      </c>
      <c r="H15" s="15">
        <f t="shared" ref="H15:I15" si="19">F15+H14</f>
        <v>148.5714286</v>
      </c>
      <c r="I15" s="16">
        <f t="shared" si="19"/>
        <v>2.476190476</v>
      </c>
      <c r="J15" s="31"/>
      <c r="K15" s="31"/>
      <c r="L15" s="31"/>
      <c r="M15" s="31"/>
      <c r="N15" s="31"/>
      <c r="O15" s="31"/>
      <c r="P15" s="31"/>
      <c r="Q15" s="31"/>
    </row>
    <row r="16">
      <c r="A16" s="9">
        <v>15.0</v>
      </c>
      <c r="B16" s="57">
        <v>375.0</v>
      </c>
      <c r="C16" s="9">
        <v>1.0</v>
      </c>
      <c r="D16" s="27">
        <f t="shared" si="6"/>
        <v>2975</v>
      </c>
      <c r="E16" s="12">
        <f t="shared" si="7"/>
        <v>14</v>
      </c>
      <c r="F16" s="13">
        <f t="shared" si="3"/>
        <v>21.42857143</v>
      </c>
      <c r="G16" s="14">
        <f t="shared" si="4"/>
        <v>0.3571428571</v>
      </c>
      <c r="H16" s="15">
        <f t="shared" ref="H16:I16" si="20">F16+H15</f>
        <v>170</v>
      </c>
      <c r="I16" s="16">
        <f t="shared" si="20"/>
        <v>2.833333333</v>
      </c>
      <c r="J16" s="31"/>
      <c r="K16" s="31"/>
      <c r="L16" s="31"/>
      <c r="M16" s="31"/>
      <c r="N16" s="31"/>
      <c r="O16" s="31"/>
      <c r="P16" s="31"/>
      <c r="Q16" s="31"/>
    </row>
    <row r="17">
      <c r="A17" s="9">
        <v>16.0</v>
      </c>
      <c r="B17" s="11">
        <v>400.0</v>
      </c>
      <c r="C17" s="9">
        <v>1.0</v>
      </c>
      <c r="D17" s="27">
        <f t="shared" si="6"/>
        <v>3375</v>
      </c>
      <c r="E17" s="12">
        <f t="shared" si="7"/>
        <v>15</v>
      </c>
      <c r="F17" s="13">
        <f t="shared" si="3"/>
        <v>22.85714286</v>
      </c>
      <c r="G17" s="14">
        <f t="shared" si="4"/>
        <v>0.380952381</v>
      </c>
      <c r="H17" s="15">
        <f t="shared" ref="H17:I17" si="21">F17+H16</f>
        <v>192.8571429</v>
      </c>
      <c r="I17" s="16">
        <f t="shared" si="21"/>
        <v>3.214285714</v>
      </c>
      <c r="J17" s="31"/>
      <c r="K17" s="31"/>
      <c r="L17" s="31"/>
      <c r="M17" s="31"/>
      <c r="N17" s="31"/>
      <c r="O17" s="31"/>
      <c r="P17" s="31"/>
      <c r="Q17" s="31"/>
    </row>
    <row r="18">
      <c r="A18" s="9">
        <v>17.0</v>
      </c>
      <c r="B18" s="57">
        <v>425.0</v>
      </c>
      <c r="C18" s="9">
        <v>1.0</v>
      </c>
      <c r="D18" s="27">
        <f t="shared" si="6"/>
        <v>3800</v>
      </c>
      <c r="E18" s="12">
        <f t="shared" si="7"/>
        <v>16</v>
      </c>
      <c r="F18" s="13">
        <f t="shared" si="3"/>
        <v>24.28571429</v>
      </c>
      <c r="G18" s="14">
        <f t="shared" si="4"/>
        <v>0.4047619048</v>
      </c>
      <c r="H18" s="15">
        <f t="shared" ref="H18:I18" si="22">F18+H17</f>
        <v>217.1428571</v>
      </c>
      <c r="I18" s="16">
        <f t="shared" si="22"/>
        <v>3.619047619</v>
      </c>
      <c r="J18" s="31"/>
      <c r="K18" s="31"/>
      <c r="L18" s="31"/>
      <c r="M18" s="31"/>
      <c r="N18" s="31"/>
      <c r="O18" s="31"/>
      <c r="P18" s="31"/>
      <c r="Q18" s="31"/>
    </row>
    <row r="19">
      <c r="A19" s="9">
        <v>18.0</v>
      </c>
      <c r="B19" s="11">
        <v>450.0</v>
      </c>
      <c r="C19" s="9">
        <v>1.0</v>
      </c>
      <c r="D19" s="27">
        <f t="shared" si="6"/>
        <v>4250</v>
      </c>
      <c r="E19" s="12">
        <f t="shared" si="7"/>
        <v>17</v>
      </c>
      <c r="F19" s="13">
        <f t="shared" si="3"/>
        <v>25.71428571</v>
      </c>
      <c r="G19" s="14">
        <f t="shared" si="4"/>
        <v>0.4285714286</v>
      </c>
      <c r="H19" s="15">
        <f t="shared" ref="H19:I19" si="23">F19+H18</f>
        <v>242.8571429</v>
      </c>
      <c r="I19" s="16">
        <f t="shared" si="23"/>
        <v>4.047619048</v>
      </c>
      <c r="J19" s="31"/>
      <c r="K19" s="31"/>
      <c r="L19" s="31"/>
      <c r="M19" s="31"/>
      <c r="N19" s="31"/>
      <c r="O19" s="31"/>
      <c r="P19" s="31"/>
      <c r="Q19" s="31"/>
    </row>
    <row r="20">
      <c r="A20" s="9">
        <v>19.0</v>
      </c>
      <c r="B20" s="57">
        <v>475.0</v>
      </c>
      <c r="C20" s="9">
        <v>1.0</v>
      </c>
      <c r="D20" s="27">
        <f t="shared" si="6"/>
        <v>4725</v>
      </c>
      <c r="E20" s="12">
        <f t="shared" si="7"/>
        <v>18</v>
      </c>
      <c r="F20" s="13">
        <f t="shared" si="3"/>
        <v>27.14285714</v>
      </c>
      <c r="G20" s="14">
        <f t="shared" si="4"/>
        <v>0.4523809524</v>
      </c>
      <c r="H20" s="15">
        <f t="shared" ref="H20:I20" si="24">F20+H19</f>
        <v>270</v>
      </c>
      <c r="I20" s="16">
        <f t="shared" si="24"/>
        <v>4.5</v>
      </c>
      <c r="J20" s="31"/>
      <c r="K20" s="31"/>
      <c r="L20" s="31"/>
      <c r="M20" s="31"/>
      <c r="N20" s="31"/>
      <c r="O20" s="31"/>
      <c r="P20" s="31"/>
      <c r="Q20" s="31"/>
    </row>
    <row r="21">
      <c r="A21" s="9">
        <v>20.0</v>
      </c>
      <c r="B21" s="11">
        <v>500.0</v>
      </c>
      <c r="C21" s="9">
        <v>1.0</v>
      </c>
      <c r="D21" s="27">
        <f t="shared" si="6"/>
        <v>5225</v>
      </c>
      <c r="E21" s="12">
        <f t="shared" si="7"/>
        <v>19</v>
      </c>
      <c r="F21" s="13">
        <f t="shared" si="3"/>
        <v>28.57142857</v>
      </c>
      <c r="G21" s="14">
        <f t="shared" si="4"/>
        <v>0.4761904762</v>
      </c>
      <c r="H21" s="15">
        <f t="shared" ref="H21:I21" si="25">F21+H20</f>
        <v>298.5714286</v>
      </c>
      <c r="I21" s="16">
        <f t="shared" si="25"/>
        <v>4.976190476</v>
      </c>
      <c r="J21" s="31"/>
      <c r="K21" s="31"/>
      <c r="L21" s="31"/>
      <c r="M21" s="31"/>
      <c r="N21" s="31"/>
      <c r="O21" s="31"/>
      <c r="P21" s="31"/>
      <c r="Q21" s="31"/>
    </row>
    <row r="22">
      <c r="A22" s="9">
        <v>21.0</v>
      </c>
      <c r="B22" s="57">
        <v>525.0</v>
      </c>
      <c r="C22" s="9">
        <v>1.0</v>
      </c>
      <c r="D22" s="27">
        <f t="shared" si="6"/>
        <v>5750</v>
      </c>
      <c r="E22" s="12">
        <f t="shared" si="7"/>
        <v>20</v>
      </c>
      <c r="F22" s="13">
        <f t="shared" si="3"/>
        <v>30</v>
      </c>
      <c r="G22" s="14">
        <f t="shared" si="4"/>
        <v>0.5</v>
      </c>
      <c r="H22" s="15">
        <f t="shared" ref="H22:I22" si="26">F22+H21</f>
        <v>328.5714286</v>
      </c>
      <c r="I22" s="16">
        <f t="shared" si="26"/>
        <v>5.476190476</v>
      </c>
      <c r="J22" s="31"/>
      <c r="K22" s="31"/>
      <c r="L22" s="31"/>
      <c r="M22" s="31"/>
      <c r="N22" s="31"/>
      <c r="O22" s="31"/>
      <c r="P22" s="31"/>
      <c r="Q22" s="31"/>
    </row>
    <row r="23">
      <c r="A23" s="9">
        <v>22.0</v>
      </c>
      <c r="B23" s="11">
        <v>550.0</v>
      </c>
      <c r="C23" s="9">
        <v>1.0</v>
      </c>
      <c r="D23" s="27">
        <f t="shared" si="6"/>
        <v>6300</v>
      </c>
      <c r="E23" s="12">
        <f t="shared" si="7"/>
        <v>21</v>
      </c>
      <c r="F23" s="13">
        <f t="shared" si="3"/>
        <v>31.42857143</v>
      </c>
      <c r="G23" s="14">
        <f t="shared" si="4"/>
        <v>0.5238095238</v>
      </c>
      <c r="H23" s="15">
        <f t="shared" ref="H23:I23" si="27">F23+H22</f>
        <v>360</v>
      </c>
      <c r="I23" s="16">
        <f t="shared" si="27"/>
        <v>6</v>
      </c>
      <c r="J23" s="31"/>
      <c r="K23" s="31"/>
      <c r="L23" s="31"/>
      <c r="M23" s="31"/>
      <c r="N23" s="31"/>
      <c r="O23" s="31"/>
      <c r="P23" s="31"/>
      <c r="Q23" s="31"/>
    </row>
    <row r="24">
      <c r="A24" s="9">
        <v>23.0</v>
      </c>
      <c r="B24" s="57">
        <v>575.0</v>
      </c>
      <c r="C24" s="9">
        <v>1.0</v>
      </c>
      <c r="D24" s="27">
        <f t="shared" si="6"/>
        <v>6875</v>
      </c>
      <c r="E24" s="12">
        <f t="shared" si="7"/>
        <v>22</v>
      </c>
      <c r="F24" s="13">
        <f t="shared" si="3"/>
        <v>32.85714286</v>
      </c>
      <c r="G24" s="14">
        <f t="shared" si="4"/>
        <v>0.5476190476</v>
      </c>
      <c r="H24" s="15">
        <f t="shared" ref="H24:I24" si="28">F24+H23</f>
        <v>392.8571429</v>
      </c>
      <c r="I24" s="16">
        <f t="shared" si="28"/>
        <v>6.547619048</v>
      </c>
      <c r="J24" s="31"/>
      <c r="K24" s="31"/>
      <c r="L24" s="31"/>
      <c r="M24" s="31"/>
      <c r="N24" s="31"/>
      <c r="O24" s="31"/>
      <c r="P24" s="31"/>
      <c r="Q24" s="31"/>
    </row>
    <row r="25">
      <c r="A25" s="9">
        <v>24.0</v>
      </c>
      <c r="B25" s="11">
        <v>600.0</v>
      </c>
      <c r="C25" s="9">
        <v>1.0</v>
      </c>
      <c r="D25" s="27">
        <f t="shared" si="6"/>
        <v>7475</v>
      </c>
      <c r="E25" s="12">
        <f t="shared" si="7"/>
        <v>23</v>
      </c>
      <c r="F25" s="13">
        <f t="shared" si="3"/>
        <v>34.28571429</v>
      </c>
      <c r="G25" s="14">
        <f t="shared" si="4"/>
        <v>0.5714285714</v>
      </c>
      <c r="H25" s="15">
        <f t="shared" ref="H25:I25" si="29">F25+H24</f>
        <v>427.1428571</v>
      </c>
      <c r="I25" s="16">
        <f t="shared" si="29"/>
        <v>7.119047619</v>
      </c>
      <c r="J25" s="31"/>
      <c r="K25" s="31"/>
      <c r="L25" s="31"/>
      <c r="M25" s="31"/>
      <c r="N25" s="31"/>
      <c r="O25" s="31"/>
      <c r="P25" s="31"/>
      <c r="Q25" s="31"/>
    </row>
    <row r="26">
      <c r="A26" s="9">
        <v>25.0</v>
      </c>
      <c r="B26" s="57">
        <v>625.0</v>
      </c>
      <c r="C26" s="9">
        <v>1.0</v>
      </c>
      <c r="D26" s="27">
        <f t="shared" si="6"/>
        <v>8100</v>
      </c>
      <c r="E26" s="12">
        <f t="shared" si="7"/>
        <v>24</v>
      </c>
      <c r="F26" s="13">
        <f t="shared" si="3"/>
        <v>35.71428571</v>
      </c>
      <c r="G26" s="14">
        <f t="shared" si="4"/>
        <v>0.5952380952</v>
      </c>
      <c r="H26" s="15">
        <f t="shared" ref="H26:I26" si="30">F26+H25</f>
        <v>462.8571429</v>
      </c>
      <c r="I26" s="16">
        <f t="shared" si="30"/>
        <v>7.714285714</v>
      </c>
      <c r="J26" s="31"/>
      <c r="K26" s="31"/>
      <c r="L26" s="31"/>
      <c r="M26" s="31"/>
      <c r="N26" s="31"/>
      <c r="O26" s="31"/>
      <c r="P26" s="31"/>
      <c r="Q26" s="31"/>
    </row>
    <row r="27">
      <c r="A27" s="9">
        <v>26.0</v>
      </c>
      <c r="B27" s="11">
        <v>650.0</v>
      </c>
      <c r="C27" s="11">
        <v>2.0</v>
      </c>
      <c r="D27" s="27">
        <f t="shared" si="6"/>
        <v>8750</v>
      </c>
      <c r="E27" s="12">
        <f t="shared" si="7"/>
        <v>26</v>
      </c>
      <c r="F27" s="13">
        <f t="shared" si="3"/>
        <v>37.14285714</v>
      </c>
      <c r="G27" s="14">
        <f t="shared" si="4"/>
        <v>0.619047619</v>
      </c>
      <c r="H27" s="15">
        <f t="shared" ref="H27:I27" si="31">F27+H26</f>
        <v>500</v>
      </c>
      <c r="I27" s="16">
        <f t="shared" si="31"/>
        <v>8.333333333</v>
      </c>
      <c r="J27" s="31"/>
      <c r="K27" s="31"/>
      <c r="L27" s="31"/>
      <c r="M27" s="31"/>
      <c r="N27" s="31"/>
      <c r="O27" s="31"/>
      <c r="P27" s="31"/>
      <c r="Q27" s="31"/>
    </row>
    <row r="28">
      <c r="A28" s="9">
        <v>27.0</v>
      </c>
      <c r="B28" s="11">
        <v>800.0</v>
      </c>
      <c r="C28" s="11">
        <v>2.0</v>
      </c>
      <c r="D28" s="27">
        <f t="shared" si="6"/>
        <v>9550</v>
      </c>
      <c r="E28" s="12">
        <f t="shared" si="7"/>
        <v>28</v>
      </c>
      <c r="F28" s="13">
        <f t="shared" si="3"/>
        <v>45.71428571</v>
      </c>
      <c r="G28" s="14">
        <f t="shared" si="4"/>
        <v>0.7619047619</v>
      </c>
      <c r="H28" s="15">
        <f t="shared" ref="H28:I28" si="32">F28+H27</f>
        <v>545.7142857</v>
      </c>
      <c r="I28" s="16">
        <f t="shared" si="32"/>
        <v>9.095238095</v>
      </c>
      <c r="J28" s="31"/>
      <c r="K28" s="31"/>
      <c r="L28" s="31"/>
      <c r="M28" s="31"/>
      <c r="N28" s="31"/>
      <c r="O28" s="31"/>
      <c r="P28" s="31"/>
      <c r="Q28" s="31"/>
    </row>
    <row r="29">
      <c r="A29" s="9">
        <v>28.0</v>
      </c>
      <c r="B29" s="11">
        <v>800.0</v>
      </c>
      <c r="C29" s="11">
        <v>2.0</v>
      </c>
      <c r="D29" s="27">
        <f t="shared" si="6"/>
        <v>10350</v>
      </c>
      <c r="E29" s="12">
        <f t="shared" si="7"/>
        <v>30</v>
      </c>
      <c r="F29" s="13">
        <f t="shared" si="3"/>
        <v>45.71428571</v>
      </c>
      <c r="G29" s="14">
        <f t="shared" si="4"/>
        <v>0.7619047619</v>
      </c>
      <c r="H29" s="15">
        <f t="shared" ref="H29:I29" si="33">F29+H28</f>
        <v>591.4285714</v>
      </c>
      <c r="I29" s="16">
        <f t="shared" si="33"/>
        <v>9.857142857</v>
      </c>
      <c r="J29" s="31"/>
      <c r="K29" s="31"/>
      <c r="L29" s="31"/>
      <c r="M29" s="31"/>
      <c r="N29" s="31"/>
      <c r="O29" s="31"/>
      <c r="P29" s="31"/>
      <c r="Q29" s="31"/>
    </row>
    <row r="30">
      <c r="A30" s="9">
        <v>29.0</v>
      </c>
      <c r="B30" s="11">
        <v>800.0</v>
      </c>
      <c r="C30" s="11">
        <v>2.0</v>
      </c>
      <c r="D30" s="27">
        <f t="shared" si="6"/>
        <v>11150</v>
      </c>
      <c r="E30" s="12">
        <f t="shared" si="7"/>
        <v>32</v>
      </c>
      <c r="F30" s="13">
        <f t="shared" si="3"/>
        <v>45.71428571</v>
      </c>
      <c r="G30" s="14">
        <f t="shared" si="4"/>
        <v>0.7619047619</v>
      </c>
      <c r="H30" s="15">
        <f t="shared" ref="H30:I30" si="34">F30+H29</f>
        <v>637.1428571</v>
      </c>
      <c r="I30" s="16">
        <f t="shared" si="34"/>
        <v>10.61904762</v>
      </c>
      <c r="J30" s="31"/>
      <c r="K30" s="31"/>
      <c r="L30" s="31"/>
      <c r="M30" s="31"/>
      <c r="N30" s="31"/>
      <c r="O30" s="31"/>
      <c r="P30" s="31"/>
      <c r="Q30" s="31"/>
    </row>
    <row r="31">
      <c r="A31" s="9">
        <v>30.0</v>
      </c>
      <c r="B31" s="11">
        <v>800.0</v>
      </c>
      <c r="C31" s="11">
        <v>2.0</v>
      </c>
      <c r="D31" s="27">
        <f t="shared" si="6"/>
        <v>11950</v>
      </c>
      <c r="E31" s="12">
        <f t="shared" si="7"/>
        <v>34</v>
      </c>
      <c r="F31" s="13">
        <f t="shared" si="3"/>
        <v>45.71428571</v>
      </c>
      <c r="G31" s="14">
        <f t="shared" si="4"/>
        <v>0.7619047619</v>
      </c>
      <c r="H31" s="15">
        <f t="shared" ref="H31:I31" si="35">F31+H30</f>
        <v>682.8571429</v>
      </c>
      <c r="I31" s="16">
        <f t="shared" si="35"/>
        <v>11.38095238</v>
      </c>
      <c r="J31" s="31"/>
      <c r="K31" s="31"/>
      <c r="L31" s="31"/>
      <c r="M31" s="31"/>
      <c r="N31" s="31"/>
      <c r="O31" s="31"/>
      <c r="P31" s="31"/>
      <c r="Q31" s="31"/>
    </row>
    <row r="32">
      <c r="A32" s="9">
        <v>31.0</v>
      </c>
      <c r="B32" s="11">
        <v>800.0</v>
      </c>
      <c r="C32" s="11">
        <v>2.0</v>
      </c>
      <c r="D32" s="27">
        <f t="shared" si="6"/>
        <v>12750</v>
      </c>
      <c r="E32" s="12">
        <f t="shared" si="7"/>
        <v>36</v>
      </c>
      <c r="F32" s="13">
        <f t="shared" si="3"/>
        <v>45.71428571</v>
      </c>
      <c r="G32" s="14">
        <f t="shared" si="4"/>
        <v>0.7619047619</v>
      </c>
      <c r="H32" s="15">
        <f t="shared" ref="H32:I32" si="36">F32+H31</f>
        <v>728.5714286</v>
      </c>
      <c r="I32" s="16">
        <f t="shared" si="36"/>
        <v>12.14285714</v>
      </c>
      <c r="J32" s="31"/>
      <c r="K32" s="31"/>
      <c r="L32" s="31"/>
      <c r="M32" s="31"/>
      <c r="N32" s="31"/>
      <c r="O32" s="31"/>
      <c r="P32" s="31"/>
      <c r="Q32" s="31"/>
    </row>
    <row r="33">
      <c r="A33" s="9">
        <v>32.0</v>
      </c>
      <c r="B33" s="11">
        <v>800.0</v>
      </c>
      <c r="C33" s="11">
        <v>2.0</v>
      </c>
      <c r="D33" s="27">
        <f t="shared" si="6"/>
        <v>13550</v>
      </c>
      <c r="E33" s="12">
        <f t="shared" si="7"/>
        <v>38</v>
      </c>
      <c r="F33" s="13">
        <f t="shared" si="3"/>
        <v>45.71428571</v>
      </c>
      <c r="G33" s="14">
        <f t="shared" si="4"/>
        <v>0.7619047619</v>
      </c>
      <c r="H33" s="15">
        <f t="shared" ref="H33:I33" si="37">F33+H32</f>
        <v>774.2857143</v>
      </c>
      <c r="I33" s="16">
        <f t="shared" si="37"/>
        <v>12.9047619</v>
      </c>
      <c r="J33" s="31"/>
      <c r="K33" s="31"/>
      <c r="L33" s="31"/>
      <c r="M33" s="31"/>
      <c r="N33" s="31"/>
      <c r="O33" s="31"/>
      <c r="P33" s="31"/>
      <c r="Q33" s="31"/>
    </row>
    <row r="34">
      <c r="A34" s="9">
        <v>33.0</v>
      </c>
      <c r="B34" s="11">
        <v>800.0</v>
      </c>
      <c r="C34" s="11">
        <v>2.0</v>
      </c>
      <c r="D34" s="27">
        <f t="shared" si="6"/>
        <v>14350</v>
      </c>
      <c r="E34" s="12">
        <f t="shared" si="7"/>
        <v>40</v>
      </c>
      <c r="F34" s="13">
        <f t="shared" si="3"/>
        <v>45.71428571</v>
      </c>
      <c r="G34" s="14">
        <f t="shared" si="4"/>
        <v>0.7619047619</v>
      </c>
      <c r="H34" s="15">
        <f t="shared" ref="H34:I34" si="38">F34+H33</f>
        <v>820</v>
      </c>
      <c r="I34" s="16">
        <f t="shared" si="38"/>
        <v>13.66666667</v>
      </c>
      <c r="J34" s="31"/>
      <c r="K34" s="31"/>
      <c r="L34" s="31"/>
      <c r="M34" s="31"/>
      <c r="N34" s="31"/>
      <c r="O34" s="31"/>
      <c r="P34" s="31"/>
      <c r="Q34" s="31"/>
    </row>
    <row r="35">
      <c r="A35" s="9">
        <v>34.0</v>
      </c>
      <c r="B35" s="11">
        <v>800.0</v>
      </c>
      <c r="C35" s="11">
        <v>2.0</v>
      </c>
      <c r="D35" s="27">
        <f t="shared" si="6"/>
        <v>15150</v>
      </c>
      <c r="E35" s="12">
        <f t="shared" si="7"/>
        <v>42</v>
      </c>
      <c r="F35" s="13">
        <f t="shared" si="3"/>
        <v>45.71428571</v>
      </c>
      <c r="G35" s="14">
        <f t="shared" si="4"/>
        <v>0.7619047619</v>
      </c>
      <c r="H35" s="15">
        <f t="shared" ref="H35:I35" si="39">F35+H34</f>
        <v>865.7142857</v>
      </c>
      <c r="I35" s="16">
        <f t="shared" si="39"/>
        <v>14.42857143</v>
      </c>
      <c r="J35" s="31"/>
      <c r="K35" s="31"/>
      <c r="L35" s="31"/>
      <c r="M35" s="31"/>
      <c r="N35" s="31"/>
      <c r="O35" s="31"/>
      <c r="P35" s="31"/>
      <c r="Q35" s="31"/>
    </row>
    <row r="36">
      <c r="A36" s="9">
        <v>35.0</v>
      </c>
      <c r="B36" s="11">
        <v>800.0</v>
      </c>
      <c r="C36" s="11">
        <v>2.0</v>
      </c>
      <c r="D36" s="27">
        <f t="shared" si="6"/>
        <v>15950</v>
      </c>
      <c r="E36" s="12">
        <f t="shared" si="7"/>
        <v>44</v>
      </c>
      <c r="F36" s="13">
        <f t="shared" si="3"/>
        <v>45.71428571</v>
      </c>
      <c r="G36" s="14">
        <f t="shared" si="4"/>
        <v>0.7619047619</v>
      </c>
      <c r="H36" s="15">
        <f t="shared" ref="H36:I36" si="40">F36+H35</f>
        <v>911.4285714</v>
      </c>
      <c r="I36" s="16">
        <f t="shared" si="40"/>
        <v>15.19047619</v>
      </c>
      <c r="J36" s="31"/>
      <c r="K36" s="31"/>
      <c r="L36" s="31"/>
      <c r="M36" s="31"/>
      <c r="N36" s="31"/>
      <c r="O36" s="31"/>
      <c r="P36" s="31"/>
      <c r="Q36" s="31"/>
    </row>
    <row r="37">
      <c r="A37" s="9">
        <v>36.0</v>
      </c>
      <c r="B37" s="11">
        <v>800.0</v>
      </c>
      <c r="C37" s="11">
        <v>2.0</v>
      </c>
      <c r="D37" s="27">
        <f t="shared" si="6"/>
        <v>16750</v>
      </c>
      <c r="E37" s="12">
        <f t="shared" si="7"/>
        <v>46</v>
      </c>
      <c r="F37" s="13">
        <f t="shared" si="3"/>
        <v>45.71428571</v>
      </c>
      <c r="G37" s="14">
        <f t="shared" si="4"/>
        <v>0.7619047619</v>
      </c>
      <c r="H37" s="15">
        <f t="shared" ref="H37:I37" si="41">F37+H36</f>
        <v>957.1428571</v>
      </c>
      <c r="I37" s="16">
        <f t="shared" si="41"/>
        <v>15.95238095</v>
      </c>
      <c r="J37" s="31"/>
      <c r="K37" s="31"/>
      <c r="L37" s="31"/>
      <c r="M37" s="31"/>
      <c r="N37" s="31"/>
      <c r="O37" s="31"/>
      <c r="P37" s="31"/>
      <c r="Q37" s="31"/>
    </row>
    <row r="38">
      <c r="A38" s="9">
        <v>37.0</v>
      </c>
      <c r="B38" s="11">
        <v>800.0</v>
      </c>
      <c r="C38" s="11">
        <v>2.0</v>
      </c>
      <c r="D38" s="27">
        <f t="shared" si="6"/>
        <v>17550</v>
      </c>
      <c r="E38" s="12">
        <f t="shared" si="7"/>
        <v>48</v>
      </c>
      <c r="F38" s="13">
        <f t="shared" si="3"/>
        <v>45.71428571</v>
      </c>
      <c r="G38" s="14">
        <f t="shared" si="4"/>
        <v>0.7619047619</v>
      </c>
      <c r="H38" s="15">
        <f t="shared" ref="H38:I38" si="42">F38+H37</f>
        <v>1002.857143</v>
      </c>
      <c r="I38" s="16">
        <f t="shared" si="42"/>
        <v>16.71428571</v>
      </c>
      <c r="J38" s="31"/>
      <c r="K38" s="31"/>
      <c r="L38" s="31"/>
      <c r="M38" s="31"/>
      <c r="N38" s="31"/>
      <c r="O38" s="31"/>
      <c r="P38" s="31"/>
      <c r="Q38" s="31"/>
    </row>
    <row r="39">
      <c r="A39" s="9">
        <v>38.0</v>
      </c>
      <c r="B39" s="11">
        <v>800.0</v>
      </c>
      <c r="C39" s="11">
        <v>2.0</v>
      </c>
      <c r="D39" s="27">
        <f t="shared" si="6"/>
        <v>18350</v>
      </c>
      <c r="E39" s="12">
        <f t="shared" si="7"/>
        <v>50</v>
      </c>
      <c r="F39" s="13">
        <f t="shared" si="3"/>
        <v>45.71428571</v>
      </c>
      <c r="G39" s="14">
        <f t="shared" si="4"/>
        <v>0.7619047619</v>
      </c>
      <c r="H39" s="15">
        <f t="shared" ref="H39:I39" si="43">F39+H38</f>
        <v>1048.571429</v>
      </c>
      <c r="I39" s="16">
        <f t="shared" si="43"/>
        <v>17.47619048</v>
      </c>
      <c r="J39" s="31"/>
      <c r="K39" s="31"/>
      <c r="L39" s="31"/>
      <c r="M39" s="31"/>
      <c r="N39" s="31"/>
      <c r="O39" s="31"/>
      <c r="P39" s="31"/>
      <c r="Q39" s="31"/>
    </row>
    <row r="40">
      <c r="A40" s="9">
        <v>39.0</v>
      </c>
      <c r="B40" s="11">
        <v>800.0</v>
      </c>
      <c r="C40" s="11">
        <v>2.0</v>
      </c>
      <c r="D40" s="27">
        <f t="shared" si="6"/>
        <v>19150</v>
      </c>
      <c r="E40" s="12">
        <f t="shared" si="7"/>
        <v>52</v>
      </c>
      <c r="F40" s="13">
        <f t="shared" si="3"/>
        <v>45.71428571</v>
      </c>
      <c r="G40" s="14">
        <f t="shared" si="4"/>
        <v>0.7619047619</v>
      </c>
      <c r="H40" s="15">
        <f t="shared" ref="H40:I40" si="44">F40+H39</f>
        <v>1094.285714</v>
      </c>
      <c r="I40" s="16">
        <f t="shared" si="44"/>
        <v>18.23809524</v>
      </c>
      <c r="J40" s="31"/>
      <c r="K40" s="31"/>
      <c r="L40" s="31"/>
      <c r="M40" s="31"/>
      <c r="N40" s="31"/>
      <c r="O40" s="31"/>
      <c r="P40" s="31"/>
      <c r="Q40" s="31"/>
    </row>
    <row r="41">
      <c r="A41" s="9">
        <v>40.0</v>
      </c>
      <c r="B41" s="11">
        <v>800.0</v>
      </c>
      <c r="C41" s="11">
        <v>2.0</v>
      </c>
      <c r="D41" s="27">
        <f t="shared" si="6"/>
        <v>19950</v>
      </c>
      <c r="E41" s="12">
        <f t="shared" si="7"/>
        <v>54</v>
      </c>
      <c r="F41" s="13">
        <f t="shared" si="3"/>
        <v>45.71428571</v>
      </c>
      <c r="G41" s="14">
        <f t="shared" si="4"/>
        <v>0.7619047619</v>
      </c>
      <c r="H41" s="15">
        <f t="shared" ref="H41:I41" si="45">F41+H40</f>
        <v>1140</v>
      </c>
      <c r="I41" s="16">
        <f t="shared" si="45"/>
        <v>19</v>
      </c>
      <c r="J41" s="31"/>
      <c r="K41" s="31"/>
      <c r="L41" s="31"/>
      <c r="M41" s="31"/>
      <c r="N41" s="31"/>
      <c r="O41" s="31"/>
      <c r="P41" s="31"/>
      <c r="Q41" s="31"/>
    </row>
    <row r="42">
      <c r="A42" s="9">
        <v>41.0</v>
      </c>
      <c r="B42" s="11">
        <v>800.0</v>
      </c>
      <c r="C42" s="11">
        <v>3.0</v>
      </c>
      <c r="D42" s="27">
        <f t="shared" si="6"/>
        <v>20750</v>
      </c>
      <c r="E42" s="12">
        <f t="shared" si="7"/>
        <v>57</v>
      </c>
      <c r="F42" s="13">
        <f t="shared" si="3"/>
        <v>45.71428571</v>
      </c>
      <c r="G42" s="14">
        <f t="shared" si="4"/>
        <v>0.7619047619</v>
      </c>
      <c r="H42" s="15">
        <f t="shared" ref="H42:I42" si="46">F42+H41</f>
        <v>1185.714286</v>
      </c>
      <c r="I42" s="16">
        <f t="shared" si="46"/>
        <v>19.76190476</v>
      </c>
      <c r="J42" s="31"/>
      <c r="K42" s="31"/>
      <c r="L42" s="31"/>
      <c r="M42" s="31"/>
      <c r="N42" s="31"/>
      <c r="O42" s="31"/>
      <c r="P42" s="31"/>
      <c r="Q42" s="31"/>
    </row>
    <row r="43">
      <c r="A43" s="9">
        <v>42.0</v>
      </c>
      <c r="B43" s="11">
        <v>1100.0</v>
      </c>
      <c r="C43" s="11">
        <v>3.0</v>
      </c>
      <c r="D43" s="27">
        <f t="shared" si="6"/>
        <v>21850</v>
      </c>
      <c r="E43" s="12">
        <f t="shared" si="7"/>
        <v>60</v>
      </c>
      <c r="F43" s="13">
        <f t="shared" si="3"/>
        <v>62.85714286</v>
      </c>
      <c r="G43" s="14">
        <f t="shared" si="4"/>
        <v>1.047619048</v>
      </c>
      <c r="H43" s="15">
        <f t="shared" ref="H43:I43" si="47">F43+H42</f>
        <v>1248.571429</v>
      </c>
      <c r="I43" s="16">
        <f t="shared" si="47"/>
        <v>20.80952381</v>
      </c>
      <c r="J43" s="31"/>
      <c r="K43" s="31"/>
      <c r="L43" s="31"/>
      <c r="M43" s="31"/>
      <c r="N43" s="31"/>
      <c r="O43" s="31"/>
      <c r="P43" s="31"/>
      <c r="Q43" s="31"/>
    </row>
    <row r="44">
      <c r="A44" s="9">
        <v>43.0</v>
      </c>
      <c r="B44" s="11">
        <v>1100.0</v>
      </c>
      <c r="C44" s="11">
        <v>3.0</v>
      </c>
      <c r="D44" s="27">
        <f t="shared" si="6"/>
        <v>22950</v>
      </c>
      <c r="E44" s="12">
        <f t="shared" si="7"/>
        <v>63</v>
      </c>
      <c r="F44" s="13">
        <f t="shared" si="3"/>
        <v>62.85714286</v>
      </c>
      <c r="G44" s="14">
        <f t="shared" si="4"/>
        <v>1.047619048</v>
      </c>
      <c r="H44" s="15">
        <f t="shared" ref="H44:I44" si="48">F44+H43</f>
        <v>1311.428571</v>
      </c>
      <c r="I44" s="16">
        <f t="shared" si="48"/>
        <v>21.85714286</v>
      </c>
      <c r="J44" s="31"/>
      <c r="K44" s="31"/>
      <c r="L44" s="31"/>
      <c r="M44" s="31"/>
      <c r="N44" s="31"/>
      <c r="O44" s="31"/>
      <c r="P44" s="31"/>
      <c r="Q44" s="31"/>
    </row>
    <row r="45">
      <c r="A45" s="9">
        <v>44.0</v>
      </c>
      <c r="B45" s="11">
        <v>1100.0</v>
      </c>
      <c r="C45" s="11">
        <v>3.0</v>
      </c>
      <c r="D45" s="27">
        <f t="shared" si="6"/>
        <v>24050</v>
      </c>
      <c r="E45" s="12">
        <f t="shared" si="7"/>
        <v>66</v>
      </c>
      <c r="F45" s="13">
        <f t="shared" si="3"/>
        <v>62.85714286</v>
      </c>
      <c r="G45" s="14">
        <f t="shared" si="4"/>
        <v>1.047619048</v>
      </c>
      <c r="H45" s="15">
        <f t="shared" ref="H45:I45" si="49">F45+H44</f>
        <v>1374.285714</v>
      </c>
      <c r="I45" s="16">
        <f t="shared" si="49"/>
        <v>22.9047619</v>
      </c>
      <c r="J45" s="31"/>
      <c r="K45" s="31"/>
      <c r="L45" s="31"/>
      <c r="M45" s="31"/>
      <c r="N45" s="31"/>
      <c r="O45" s="31"/>
      <c r="P45" s="31"/>
      <c r="Q45" s="31"/>
    </row>
    <row r="46">
      <c r="A46" s="9">
        <v>45.0</v>
      </c>
      <c r="B46" s="11">
        <v>1100.0</v>
      </c>
      <c r="C46" s="11">
        <v>3.0</v>
      </c>
      <c r="D46" s="27">
        <f t="shared" si="6"/>
        <v>25150</v>
      </c>
      <c r="E46" s="12">
        <f t="shared" si="7"/>
        <v>69</v>
      </c>
      <c r="F46" s="13">
        <f t="shared" si="3"/>
        <v>62.85714286</v>
      </c>
      <c r="G46" s="14">
        <f t="shared" si="4"/>
        <v>1.047619048</v>
      </c>
      <c r="H46" s="15">
        <f t="shared" ref="H46:I46" si="50">F46+H45</f>
        <v>1437.142857</v>
      </c>
      <c r="I46" s="16">
        <f t="shared" si="50"/>
        <v>23.95238095</v>
      </c>
      <c r="J46" s="31"/>
      <c r="K46" s="31"/>
      <c r="L46" s="31"/>
      <c r="M46" s="31"/>
      <c r="N46" s="31"/>
      <c r="O46" s="31"/>
      <c r="P46" s="31"/>
      <c r="Q46" s="31"/>
    </row>
    <row r="47">
      <c r="A47" s="9">
        <v>46.0</v>
      </c>
      <c r="B47" s="11">
        <v>1100.0</v>
      </c>
      <c r="C47" s="11">
        <v>3.0</v>
      </c>
      <c r="D47" s="27">
        <f t="shared" si="6"/>
        <v>26250</v>
      </c>
      <c r="E47" s="12">
        <f t="shared" si="7"/>
        <v>72</v>
      </c>
      <c r="F47" s="13">
        <f t="shared" si="3"/>
        <v>62.85714286</v>
      </c>
      <c r="G47" s="14">
        <f t="shared" si="4"/>
        <v>1.047619048</v>
      </c>
      <c r="H47" s="15">
        <f t="shared" ref="H47:I47" si="51">F47+H46</f>
        <v>1500</v>
      </c>
      <c r="I47" s="16">
        <f t="shared" si="51"/>
        <v>25</v>
      </c>
      <c r="J47" s="31"/>
      <c r="K47" s="31"/>
      <c r="L47" s="31"/>
      <c r="M47" s="31"/>
      <c r="N47" s="31"/>
      <c r="O47" s="31"/>
      <c r="P47" s="31"/>
      <c r="Q47" s="31"/>
    </row>
    <row r="48">
      <c r="A48" s="9">
        <v>47.0</v>
      </c>
      <c r="B48" s="11">
        <v>1100.0</v>
      </c>
      <c r="C48" s="11">
        <v>3.0</v>
      </c>
      <c r="D48" s="27">
        <f t="shared" si="6"/>
        <v>27350</v>
      </c>
      <c r="E48" s="12">
        <f t="shared" si="7"/>
        <v>75</v>
      </c>
      <c r="F48" s="13">
        <f t="shared" si="3"/>
        <v>62.85714286</v>
      </c>
      <c r="G48" s="14">
        <f t="shared" si="4"/>
        <v>1.047619048</v>
      </c>
      <c r="H48" s="15">
        <f t="shared" ref="H48:I48" si="52">F48+H47</f>
        <v>1562.857143</v>
      </c>
      <c r="I48" s="16">
        <f t="shared" si="52"/>
        <v>26.04761905</v>
      </c>
      <c r="J48" s="31"/>
      <c r="K48" s="31"/>
      <c r="L48" s="31"/>
      <c r="M48" s="31"/>
      <c r="N48" s="31"/>
      <c r="O48" s="31"/>
      <c r="P48" s="31"/>
      <c r="Q48" s="31"/>
    </row>
    <row r="49">
      <c r="A49" s="9">
        <v>48.0</v>
      </c>
      <c r="B49" s="11">
        <v>1100.0</v>
      </c>
      <c r="C49" s="11">
        <v>3.0</v>
      </c>
      <c r="D49" s="27">
        <f t="shared" si="6"/>
        <v>28450</v>
      </c>
      <c r="E49" s="12">
        <f t="shared" si="7"/>
        <v>78</v>
      </c>
      <c r="F49" s="13">
        <f t="shared" si="3"/>
        <v>62.85714286</v>
      </c>
      <c r="G49" s="14">
        <f t="shared" si="4"/>
        <v>1.047619048</v>
      </c>
      <c r="H49" s="15">
        <f t="shared" ref="H49:I49" si="53">F49+H48</f>
        <v>1625.714286</v>
      </c>
      <c r="I49" s="16">
        <f t="shared" si="53"/>
        <v>27.0952381</v>
      </c>
      <c r="J49" s="31"/>
      <c r="K49" s="31"/>
      <c r="L49" s="31"/>
      <c r="M49" s="31"/>
      <c r="N49" s="31"/>
      <c r="O49" s="31"/>
      <c r="P49" s="31"/>
      <c r="Q49" s="31"/>
    </row>
    <row r="50">
      <c r="A50" s="9">
        <v>49.0</v>
      </c>
      <c r="B50" s="11">
        <v>1100.0</v>
      </c>
      <c r="C50" s="11">
        <v>3.0</v>
      </c>
      <c r="D50" s="27">
        <f t="shared" si="6"/>
        <v>29550</v>
      </c>
      <c r="E50" s="12">
        <f t="shared" si="7"/>
        <v>81</v>
      </c>
      <c r="F50" s="13">
        <f t="shared" si="3"/>
        <v>62.85714286</v>
      </c>
      <c r="G50" s="14">
        <f t="shared" si="4"/>
        <v>1.047619048</v>
      </c>
      <c r="H50" s="15">
        <f t="shared" ref="H50:I50" si="54">F50+H49</f>
        <v>1688.571429</v>
      </c>
      <c r="I50" s="16">
        <f t="shared" si="54"/>
        <v>28.14285714</v>
      </c>
      <c r="J50" s="31"/>
      <c r="K50" s="31"/>
      <c r="L50" s="31"/>
      <c r="M50" s="31"/>
      <c r="N50" s="31"/>
      <c r="O50" s="31"/>
      <c r="P50" s="31"/>
      <c r="Q50" s="31"/>
    </row>
    <row r="51">
      <c r="A51" s="9">
        <v>50.0</v>
      </c>
      <c r="B51" s="11">
        <v>1100.0</v>
      </c>
      <c r="C51" s="11">
        <v>3.0</v>
      </c>
      <c r="D51" s="27">
        <f t="shared" si="6"/>
        <v>30650</v>
      </c>
      <c r="E51" s="12">
        <f t="shared" si="7"/>
        <v>84</v>
      </c>
      <c r="F51" s="13">
        <f t="shared" si="3"/>
        <v>62.85714286</v>
      </c>
      <c r="G51" s="14">
        <f t="shared" si="4"/>
        <v>1.047619048</v>
      </c>
      <c r="H51" s="15">
        <f t="shared" ref="H51:I51" si="55">F51+H50</f>
        <v>1751.428571</v>
      </c>
      <c r="I51" s="16">
        <f t="shared" si="55"/>
        <v>29.19047619</v>
      </c>
      <c r="J51" s="31"/>
      <c r="K51" s="31"/>
      <c r="L51" s="31"/>
      <c r="M51" s="31"/>
      <c r="N51" s="31"/>
      <c r="O51" s="31"/>
      <c r="P51" s="31"/>
      <c r="Q51" s="31"/>
    </row>
    <row r="52">
      <c r="A52" s="9">
        <v>51.0</v>
      </c>
      <c r="B52" s="11">
        <v>1100.0</v>
      </c>
      <c r="C52" s="11">
        <v>3.0</v>
      </c>
      <c r="D52" s="27">
        <f t="shared" si="6"/>
        <v>31750</v>
      </c>
      <c r="E52" s="12">
        <f t="shared" si="7"/>
        <v>87</v>
      </c>
      <c r="F52" s="13">
        <f t="shared" si="3"/>
        <v>62.85714286</v>
      </c>
      <c r="G52" s="14">
        <f t="shared" si="4"/>
        <v>1.047619048</v>
      </c>
      <c r="H52" s="15">
        <f t="shared" ref="H52:I52" si="56">F52+H51</f>
        <v>1814.285714</v>
      </c>
      <c r="I52" s="16">
        <f t="shared" si="56"/>
        <v>30.23809524</v>
      </c>
      <c r="J52" s="31"/>
      <c r="K52" s="31"/>
      <c r="L52" s="31"/>
      <c r="M52" s="31"/>
      <c r="N52" s="31"/>
      <c r="O52" s="31"/>
      <c r="P52" s="31"/>
      <c r="Q52" s="31"/>
    </row>
    <row r="53">
      <c r="A53" s="9">
        <v>52.0</v>
      </c>
      <c r="B53" s="11">
        <v>1100.0</v>
      </c>
      <c r="C53" s="11">
        <v>3.0</v>
      </c>
      <c r="D53" s="27">
        <f t="shared" si="6"/>
        <v>32850</v>
      </c>
      <c r="E53" s="12">
        <f t="shared" si="7"/>
        <v>90</v>
      </c>
      <c r="F53" s="13">
        <f t="shared" si="3"/>
        <v>62.85714286</v>
      </c>
      <c r="G53" s="14">
        <f t="shared" si="4"/>
        <v>1.047619048</v>
      </c>
      <c r="H53" s="15">
        <f t="shared" ref="H53:I53" si="57">F53+H52</f>
        <v>1877.142857</v>
      </c>
      <c r="I53" s="16">
        <f t="shared" si="57"/>
        <v>31.28571429</v>
      </c>
      <c r="J53" s="31"/>
      <c r="K53" s="31"/>
      <c r="L53" s="31"/>
      <c r="M53" s="31"/>
      <c r="N53" s="31"/>
      <c r="O53" s="31"/>
      <c r="P53" s="31"/>
      <c r="Q53" s="31"/>
    </row>
    <row r="54">
      <c r="A54" s="9">
        <v>53.0</v>
      </c>
      <c r="B54" s="11">
        <v>1100.0</v>
      </c>
      <c r="C54" s="11">
        <v>3.0</v>
      </c>
      <c r="D54" s="27">
        <f t="shared" si="6"/>
        <v>33950</v>
      </c>
      <c r="E54" s="12">
        <f t="shared" si="7"/>
        <v>93</v>
      </c>
      <c r="F54" s="13">
        <f t="shared" si="3"/>
        <v>62.85714286</v>
      </c>
      <c r="G54" s="14">
        <f t="shared" si="4"/>
        <v>1.047619048</v>
      </c>
      <c r="H54" s="15">
        <f t="shared" ref="H54:I54" si="58">F54+H53</f>
        <v>1940</v>
      </c>
      <c r="I54" s="16">
        <f t="shared" si="58"/>
        <v>32.33333333</v>
      </c>
      <c r="J54" s="31"/>
      <c r="K54" s="31"/>
      <c r="L54" s="31"/>
      <c r="M54" s="31"/>
      <c r="N54" s="31"/>
      <c r="O54" s="31"/>
      <c r="P54" s="31"/>
      <c r="Q54" s="31"/>
    </row>
    <row r="55">
      <c r="A55" s="9">
        <v>54.0</v>
      </c>
      <c r="B55" s="11">
        <v>1100.0</v>
      </c>
      <c r="C55" s="11">
        <v>3.0</v>
      </c>
      <c r="D55" s="27">
        <f t="shared" si="6"/>
        <v>35050</v>
      </c>
      <c r="E55" s="12">
        <f t="shared" si="7"/>
        <v>96</v>
      </c>
      <c r="F55" s="13">
        <f t="shared" si="3"/>
        <v>62.85714286</v>
      </c>
      <c r="G55" s="14">
        <f t="shared" si="4"/>
        <v>1.047619048</v>
      </c>
      <c r="H55" s="15">
        <f t="shared" ref="H55:I55" si="59">F55+H54</f>
        <v>2002.857143</v>
      </c>
      <c r="I55" s="16">
        <f t="shared" si="59"/>
        <v>33.38095238</v>
      </c>
      <c r="J55" s="31"/>
      <c r="K55" s="31"/>
      <c r="L55" s="31"/>
      <c r="M55" s="31"/>
      <c r="N55" s="31"/>
      <c r="O55" s="31"/>
      <c r="P55" s="31"/>
      <c r="Q55" s="31"/>
    </row>
    <row r="56">
      <c r="A56" s="9">
        <v>55.0</v>
      </c>
      <c r="B56" s="11">
        <v>1100.0</v>
      </c>
      <c r="C56" s="11">
        <v>3.0</v>
      </c>
      <c r="D56" s="27">
        <f t="shared" si="6"/>
        <v>36150</v>
      </c>
      <c r="E56" s="12">
        <f t="shared" si="7"/>
        <v>99</v>
      </c>
      <c r="F56" s="13">
        <f t="shared" si="3"/>
        <v>62.85714286</v>
      </c>
      <c r="G56" s="14">
        <f t="shared" si="4"/>
        <v>1.047619048</v>
      </c>
      <c r="H56" s="15">
        <f t="shared" ref="H56:I56" si="60">F56+H55</f>
        <v>2065.714286</v>
      </c>
      <c r="I56" s="16">
        <f t="shared" si="60"/>
        <v>34.42857143</v>
      </c>
      <c r="J56" s="31"/>
      <c r="K56" s="31"/>
      <c r="L56" s="31"/>
      <c r="M56" s="31"/>
      <c r="N56" s="31"/>
      <c r="O56" s="31"/>
      <c r="P56" s="31"/>
      <c r="Q56" s="31"/>
    </row>
    <row r="57">
      <c r="A57" s="9">
        <v>56.0</v>
      </c>
      <c r="B57" s="11">
        <v>1100.0</v>
      </c>
      <c r="C57" s="11">
        <v>4.0</v>
      </c>
      <c r="D57" s="27">
        <f t="shared" si="6"/>
        <v>37250</v>
      </c>
      <c r="E57" s="12">
        <f t="shared" si="7"/>
        <v>103</v>
      </c>
      <c r="F57" s="13">
        <f t="shared" si="3"/>
        <v>62.85714286</v>
      </c>
      <c r="G57" s="14">
        <f t="shared" si="4"/>
        <v>1.047619048</v>
      </c>
      <c r="H57" s="15">
        <f t="shared" ref="H57:I57" si="61">F57+H56</f>
        <v>2128.571429</v>
      </c>
      <c r="I57" s="16">
        <f t="shared" si="61"/>
        <v>35.47619048</v>
      </c>
      <c r="J57" s="31"/>
      <c r="K57" s="31"/>
      <c r="L57" s="31"/>
      <c r="M57" s="31"/>
      <c r="N57" s="31"/>
      <c r="O57" s="31"/>
      <c r="P57" s="31"/>
      <c r="Q57" s="31"/>
    </row>
    <row r="58">
      <c r="A58" s="9">
        <v>57.0</v>
      </c>
      <c r="B58" s="11">
        <v>1550.0</v>
      </c>
      <c r="C58" s="11">
        <v>4.0</v>
      </c>
      <c r="D58" s="27">
        <f t="shared" si="6"/>
        <v>38800</v>
      </c>
      <c r="E58" s="12">
        <f t="shared" si="7"/>
        <v>107</v>
      </c>
      <c r="F58" s="13">
        <f t="shared" si="3"/>
        <v>88.57142857</v>
      </c>
      <c r="G58" s="14">
        <f t="shared" si="4"/>
        <v>1.476190476</v>
      </c>
      <c r="H58" s="15">
        <f t="shared" ref="H58:I58" si="62">F58+H57</f>
        <v>2217.142857</v>
      </c>
      <c r="I58" s="16">
        <f t="shared" si="62"/>
        <v>36.95238095</v>
      </c>
      <c r="J58" s="31"/>
      <c r="K58" s="31"/>
      <c r="L58" s="31"/>
      <c r="M58" s="31"/>
      <c r="N58" s="31"/>
      <c r="O58" s="31"/>
      <c r="P58" s="31"/>
      <c r="Q58" s="31"/>
    </row>
    <row r="59">
      <c r="A59" s="9">
        <v>58.0</v>
      </c>
      <c r="B59" s="11">
        <v>1550.0</v>
      </c>
      <c r="C59" s="11">
        <v>4.0</v>
      </c>
      <c r="D59" s="27">
        <f t="shared" si="6"/>
        <v>40350</v>
      </c>
      <c r="E59" s="12">
        <f t="shared" si="7"/>
        <v>111</v>
      </c>
      <c r="F59" s="13">
        <f t="shared" si="3"/>
        <v>88.57142857</v>
      </c>
      <c r="G59" s="14">
        <f t="shared" si="4"/>
        <v>1.476190476</v>
      </c>
      <c r="H59" s="15">
        <f t="shared" ref="H59:I59" si="63">F59+H58</f>
        <v>2305.714286</v>
      </c>
      <c r="I59" s="16">
        <f t="shared" si="63"/>
        <v>38.42857143</v>
      </c>
      <c r="J59" s="31"/>
      <c r="K59" s="31"/>
      <c r="L59" s="31"/>
      <c r="M59" s="31"/>
      <c r="N59" s="31"/>
      <c r="O59" s="31"/>
      <c r="P59" s="31"/>
      <c r="Q59" s="31"/>
    </row>
    <row r="60">
      <c r="A60" s="9">
        <v>59.0</v>
      </c>
      <c r="B60" s="11">
        <v>1550.0</v>
      </c>
      <c r="C60" s="11">
        <v>4.0</v>
      </c>
      <c r="D60" s="27">
        <f t="shared" si="6"/>
        <v>41900</v>
      </c>
      <c r="E60" s="12">
        <f t="shared" si="7"/>
        <v>115</v>
      </c>
      <c r="F60" s="13">
        <f t="shared" si="3"/>
        <v>88.57142857</v>
      </c>
      <c r="G60" s="14">
        <f t="shared" si="4"/>
        <v>1.476190476</v>
      </c>
      <c r="H60" s="15">
        <f t="shared" ref="H60:I60" si="64">F60+H59</f>
        <v>2394.285714</v>
      </c>
      <c r="I60" s="16">
        <f t="shared" si="64"/>
        <v>39.9047619</v>
      </c>
      <c r="J60" s="31"/>
      <c r="K60" s="31"/>
      <c r="L60" s="31"/>
      <c r="M60" s="31"/>
      <c r="N60" s="31"/>
      <c r="O60" s="31"/>
      <c r="P60" s="31"/>
      <c r="Q60" s="31"/>
    </row>
    <row r="61">
      <c r="A61" s="9">
        <v>60.0</v>
      </c>
      <c r="B61" s="11">
        <v>1550.0</v>
      </c>
      <c r="C61" s="11">
        <v>4.0</v>
      </c>
      <c r="D61" s="27">
        <f t="shared" si="6"/>
        <v>43450</v>
      </c>
      <c r="E61" s="12">
        <f t="shared" si="7"/>
        <v>119</v>
      </c>
      <c r="F61" s="13">
        <f t="shared" si="3"/>
        <v>88.57142857</v>
      </c>
      <c r="G61" s="14">
        <f t="shared" si="4"/>
        <v>1.476190476</v>
      </c>
      <c r="H61" s="15">
        <f t="shared" ref="H61:I61" si="65">F61+H60</f>
        <v>2482.857143</v>
      </c>
      <c r="I61" s="16">
        <f t="shared" si="65"/>
        <v>41.38095238</v>
      </c>
      <c r="J61" s="31"/>
      <c r="K61" s="31"/>
      <c r="L61" s="31"/>
      <c r="M61" s="31"/>
      <c r="N61" s="31"/>
      <c r="O61" s="31"/>
      <c r="P61" s="31"/>
      <c r="Q61" s="31"/>
    </row>
    <row r="62">
      <c r="A62" s="9">
        <v>61.0</v>
      </c>
      <c r="B62" s="11">
        <v>1550.0</v>
      </c>
      <c r="C62" s="11">
        <v>4.0</v>
      </c>
      <c r="D62" s="27">
        <f t="shared" si="6"/>
        <v>45000</v>
      </c>
      <c r="E62" s="12">
        <f t="shared" si="7"/>
        <v>123</v>
      </c>
      <c r="F62" s="13">
        <f t="shared" si="3"/>
        <v>88.57142857</v>
      </c>
      <c r="G62" s="14">
        <f t="shared" si="4"/>
        <v>1.476190476</v>
      </c>
      <c r="H62" s="15">
        <f t="shared" ref="H62:I62" si="66">F62+H61</f>
        <v>2571.428571</v>
      </c>
      <c r="I62" s="16">
        <f t="shared" si="66"/>
        <v>42.85714286</v>
      </c>
      <c r="J62" s="31"/>
      <c r="K62" s="31"/>
      <c r="L62" s="31"/>
      <c r="M62" s="31"/>
      <c r="N62" s="31"/>
      <c r="O62" s="31"/>
      <c r="P62" s="31"/>
      <c r="Q62" s="31"/>
    </row>
    <row r="63">
      <c r="A63" s="9">
        <v>62.0</v>
      </c>
      <c r="B63" s="11">
        <v>1550.0</v>
      </c>
      <c r="C63" s="11">
        <v>4.0</v>
      </c>
      <c r="D63" s="27">
        <f t="shared" si="6"/>
        <v>46550</v>
      </c>
      <c r="E63" s="12">
        <f t="shared" si="7"/>
        <v>127</v>
      </c>
      <c r="F63" s="13">
        <f t="shared" si="3"/>
        <v>88.57142857</v>
      </c>
      <c r="G63" s="14">
        <f t="shared" si="4"/>
        <v>1.476190476</v>
      </c>
      <c r="H63" s="15">
        <f t="shared" ref="H63:I63" si="67">F63+H62</f>
        <v>2660</v>
      </c>
      <c r="I63" s="16">
        <f t="shared" si="67"/>
        <v>44.33333333</v>
      </c>
      <c r="J63" s="31"/>
      <c r="K63" s="31"/>
      <c r="L63" s="31"/>
      <c r="M63" s="31"/>
      <c r="N63" s="31"/>
      <c r="O63" s="31"/>
      <c r="P63" s="31"/>
      <c r="Q63" s="31"/>
    </row>
    <row r="64">
      <c r="A64" s="9">
        <v>63.0</v>
      </c>
      <c r="B64" s="11">
        <v>1550.0</v>
      </c>
      <c r="C64" s="11">
        <v>4.0</v>
      </c>
      <c r="D64" s="27">
        <f t="shared" si="6"/>
        <v>48100</v>
      </c>
      <c r="E64" s="12">
        <f t="shared" si="7"/>
        <v>131</v>
      </c>
      <c r="F64" s="13">
        <f t="shared" si="3"/>
        <v>88.57142857</v>
      </c>
      <c r="G64" s="14">
        <f t="shared" si="4"/>
        <v>1.476190476</v>
      </c>
      <c r="H64" s="15">
        <f t="shared" ref="H64:I64" si="68">F64+H63</f>
        <v>2748.571429</v>
      </c>
      <c r="I64" s="16">
        <f t="shared" si="68"/>
        <v>45.80952381</v>
      </c>
      <c r="J64" s="31"/>
      <c r="K64" s="31"/>
      <c r="L64" s="31"/>
      <c r="M64" s="31"/>
      <c r="N64" s="31"/>
      <c r="O64" s="31"/>
      <c r="P64" s="31"/>
      <c r="Q64" s="31"/>
    </row>
    <row r="65">
      <c r="A65" s="9">
        <v>64.0</v>
      </c>
      <c r="B65" s="11">
        <v>1550.0</v>
      </c>
      <c r="C65" s="11">
        <v>4.0</v>
      </c>
      <c r="D65" s="27">
        <f t="shared" si="6"/>
        <v>49650</v>
      </c>
      <c r="E65" s="12">
        <f t="shared" si="7"/>
        <v>135</v>
      </c>
      <c r="F65" s="13">
        <f t="shared" si="3"/>
        <v>88.57142857</v>
      </c>
      <c r="G65" s="14">
        <f t="shared" si="4"/>
        <v>1.476190476</v>
      </c>
      <c r="H65" s="15">
        <f t="shared" ref="H65:I65" si="69">F65+H64</f>
        <v>2837.142857</v>
      </c>
      <c r="I65" s="16">
        <f t="shared" si="69"/>
        <v>47.28571429</v>
      </c>
      <c r="J65" s="31"/>
      <c r="K65" s="31"/>
      <c r="L65" s="31"/>
      <c r="M65" s="31"/>
      <c r="N65" s="31"/>
      <c r="O65" s="31"/>
      <c r="P65" s="31"/>
      <c r="Q65" s="31"/>
    </row>
    <row r="66">
      <c r="A66" s="9">
        <v>65.0</v>
      </c>
      <c r="B66" s="11">
        <v>1550.0</v>
      </c>
      <c r="C66" s="11">
        <v>4.0</v>
      </c>
      <c r="D66" s="27">
        <f t="shared" si="6"/>
        <v>51200</v>
      </c>
      <c r="E66" s="12">
        <f t="shared" si="7"/>
        <v>139</v>
      </c>
      <c r="F66" s="13">
        <f t="shared" si="3"/>
        <v>88.57142857</v>
      </c>
      <c r="G66" s="14">
        <f t="shared" si="4"/>
        <v>1.476190476</v>
      </c>
      <c r="H66" s="15">
        <f t="shared" ref="H66:I66" si="70">F66+H65</f>
        <v>2925.714286</v>
      </c>
      <c r="I66" s="16">
        <f t="shared" si="70"/>
        <v>48.76190476</v>
      </c>
      <c r="J66" s="31"/>
      <c r="K66" s="31"/>
      <c r="L66" s="31"/>
      <c r="M66" s="31"/>
      <c r="N66" s="31"/>
      <c r="O66" s="31"/>
      <c r="P66" s="31"/>
      <c r="Q66" s="31"/>
    </row>
    <row r="67">
      <c r="A67" s="9">
        <v>66.0</v>
      </c>
      <c r="B67" s="11">
        <v>1550.0</v>
      </c>
      <c r="C67" s="11">
        <v>4.0</v>
      </c>
      <c r="D67" s="27">
        <f t="shared" si="6"/>
        <v>52750</v>
      </c>
      <c r="E67" s="12">
        <f t="shared" si="7"/>
        <v>143</v>
      </c>
      <c r="F67" s="13">
        <f t="shared" si="3"/>
        <v>88.57142857</v>
      </c>
      <c r="G67" s="14">
        <f t="shared" si="4"/>
        <v>1.476190476</v>
      </c>
      <c r="H67" s="15">
        <f t="shared" ref="H67:I67" si="71">F67+H66</f>
        <v>3014.285714</v>
      </c>
      <c r="I67" s="16">
        <f t="shared" si="71"/>
        <v>50.23809524</v>
      </c>
      <c r="J67" s="31"/>
      <c r="K67" s="31"/>
      <c r="L67" s="31"/>
      <c r="M67" s="31"/>
      <c r="N67" s="31"/>
      <c r="O67" s="31"/>
      <c r="P67" s="31"/>
      <c r="Q67" s="31"/>
    </row>
    <row r="68">
      <c r="A68" s="9">
        <v>67.0</v>
      </c>
      <c r="B68" s="11">
        <v>1550.0</v>
      </c>
      <c r="C68" s="11">
        <v>4.0</v>
      </c>
      <c r="D68" s="27">
        <f t="shared" si="6"/>
        <v>54300</v>
      </c>
      <c r="E68" s="12">
        <f t="shared" si="7"/>
        <v>147</v>
      </c>
      <c r="F68" s="13">
        <f t="shared" si="3"/>
        <v>88.57142857</v>
      </c>
      <c r="G68" s="14">
        <f t="shared" si="4"/>
        <v>1.476190476</v>
      </c>
      <c r="H68" s="15">
        <f t="shared" ref="H68:I68" si="72">F68+H67</f>
        <v>3102.857143</v>
      </c>
      <c r="I68" s="16">
        <f t="shared" si="72"/>
        <v>51.71428571</v>
      </c>
      <c r="J68" s="31"/>
      <c r="K68" s="31"/>
      <c r="L68" s="31"/>
      <c r="M68" s="31"/>
      <c r="N68" s="31"/>
      <c r="O68" s="31"/>
      <c r="P68" s="31"/>
      <c r="Q68" s="31"/>
    </row>
    <row r="69">
      <c r="A69" s="9">
        <v>68.0</v>
      </c>
      <c r="B69" s="11">
        <v>1550.0</v>
      </c>
      <c r="C69" s="11">
        <v>4.0</v>
      </c>
      <c r="D69" s="27">
        <f t="shared" si="6"/>
        <v>55850</v>
      </c>
      <c r="E69" s="12">
        <f t="shared" si="7"/>
        <v>151</v>
      </c>
      <c r="F69" s="13">
        <f t="shared" si="3"/>
        <v>88.57142857</v>
      </c>
      <c r="G69" s="14">
        <f t="shared" si="4"/>
        <v>1.476190476</v>
      </c>
      <c r="H69" s="15">
        <f t="shared" ref="H69:I69" si="73">F69+H68</f>
        <v>3191.428571</v>
      </c>
      <c r="I69" s="16">
        <f t="shared" si="73"/>
        <v>53.19047619</v>
      </c>
      <c r="J69" s="31"/>
      <c r="K69" s="31"/>
      <c r="L69" s="31"/>
      <c r="M69" s="31"/>
      <c r="N69" s="31"/>
      <c r="O69" s="31"/>
      <c r="P69" s="31"/>
      <c r="Q69" s="31"/>
    </row>
    <row r="70">
      <c r="A70" s="9">
        <v>69.0</v>
      </c>
      <c r="B70" s="11">
        <v>1550.0</v>
      </c>
      <c r="C70" s="11">
        <v>4.0</v>
      </c>
      <c r="D70" s="27">
        <f t="shared" si="6"/>
        <v>57400</v>
      </c>
      <c r="E70" s="12">
        <f t="shared" si="7"/>
        <v>155</v>
      </c>
      <c r="F70" s="13">
        <f t="shared" si="3"/>
        <v>88.57142857</v>
      </c>
      <c r="G70" s="14">
        <f t="shared" si="4"/>
        <v>1.476190476</v>
      </c>
      <c r="H70" s="15">
        <f t="shared" ref="H70:I70" si="74">F70+H69</f>
        <v>3280</v>
      </c>
      <c r="I70" s="16">
        <f t="shared" si="74"/>
        <v>54.66666667</v>
      </c>
      <c r="J70" s="31"/>
      <c r="K70" s="31"/>
      <c r="L70" s="31"/>
      <c r="M70" s="31"/>
      <c r="N70" s="31"/>
      <c r="O70" s="31"/>
      <c r="P70" s="31"/>
      <c r="Q70" s="31"/>
    </row>
    <row r="71">
      <c r="A71" s="9">
        <v>70.0</v>
      </c>
      <c r="B71" s="11">
        <v>1550.0</v>
      </c>
      <c r="C71" s="11">
        <v>4.0</v>
      </c>
      <c r="D71" s="27">
        <f t="shared" si="6"/>
        <v>58950</v>
      </c>
      <c r="E71" s="12">
        <f t="shared" si="7"/>
        <v>159</v>
      </c>
      <c r="F71" s="13">
        <f t="shared" si="3"/>
        <v>88.57142857</v>
      </c>
      <c r="G71" s="14">
        <f t="shared" si="4"/>
        <v>1.476190476</v>
      </c>
      <c r="H71" s="15">
        <f t="shared" ref="H71:I71" si="75">F71+H70</f>
        <v>3368.571429</v>
      </c>
      <c r="I71" s="16">
        <f t="shared" si="75"/>
        <v>56.14285714</v>
      </c>
      <c r="J71" s="31"/>
      <c r="K71" s="31"/>
      <c r="L71" s="31"/>
      <c r="M71" s="31"/>
      <c r="N71" s="31"/>
      <c r="O71" s="31"/>
      <c r="P71" s="31"/>
      <c r="Q71" s="31"/>
    </row>
    <row r="72">
      <c r="A72" s="9">
        <v>71.0</v>
      </c>
      <c r="B72" s="11">
        <v>1550.0</v>
      </c>
      <c r="C72" s="11">
        <v>5.0</v>
      </c>
      <c r="D72" s="27">
        <f t="shared" si="6"/>
        <v>60500</v>
      </c>
      <c r="E72" s="12">
        <f t="shared" si="7"/>
        <v>164</v>
      </c>
      <c r="F72" s="13">
        <f t="shared" si="3"/>
        <v>88.57142857</v>
      </c>
      <c r="G72" s="14">
        <f t="shared" si="4"/>
        <v>1.476190476</v>
      </c>
      <c r="H72" s="15">
        <f t="shared" ref="H72:I72" si="76">F72+H71</f>
        <v>3457.142857</v>
      </c>
      <c r="I72" s="16">
        <f t="shared" si="76"/>
        <v>57.61904762</v>
      </c>
      <c r="J72" s="31"/>
      <c r="K72" s="31"/>
      <c r="L72" s="31"/>
      <c r="M72" s="31"/>
      <c r="N72" s="31"/>
      <c r="O72" s="31"/>
      <c r="P72" s="31"/>
      <c r="Q72" s="31"/>
    </row>
    <row r="73">
      <c r="A73" s="9">
        <v>72.0</v>
      </c>
      <c r="B73" s="11">
        <v>2150.0</v>
      </c>
      <c r="C73" s="11">
        <v>5.0</v>
      </c>
      <c r="D73" s="27">
        <f t="shared" si="6"/>
        <v>62650</v>
      </c>
      <c r="E73" s="12">
        <f t="shared" si="7"/>
        <v>169</v>
      </c>
      <c r="F73" s="13">
        <f t="shared" si="3"/>
        <v>122.8571429</v>
      </c>
      <c r="G73" s="14">
        <f t="shared" si="4"/>
        <v>2.047619048</v>
      </c>
      <c r="H73" s="15">
        <f t="shared" ref="H73:I73" si="77">F73+H72</f>
        <v>3580</v>
      </c>
      <c r="I73" s="16">
        <f t="shared" si="77"/>
        <v>59.66666667</v>
      </c>
      <c r="J73" s="31"/>
      <c r="K73" s="31"/>
      <c r="L73" s="31"/>
      <c r="M73" s="31"/>
      <c r="N73" s="31"/>
      <c r="O73" s="31"/>
      <c r="P73" s="31"/>
      <c r="Q73" s="31"/>
    </row>
    <row r="74">
      <c r="A74" s="9">
        <v>73.0</v>
      </c>
      <c r="B74" s="11">
        <v>2150.0</v>
      </c>
      <c r="C74" s="11">
        <v>5.0</v>
      </c>
      <c r="D74" s="27">
        <f t="shared" si="6"/>
        <v>64800</v>
      </c>
      <c r="E74" s="12">
        <f t="shared" si="7"/>
        <v>174</v>
      </c>
      <c r="F74" s="13">
        <f t="shared" si="3"/>
        <v>122.8571429</v>
      </c>
      <c r="G74" s="14">
        <f t="shared" si="4"/>
        <v>2.047619048</v>
      </c>
      <c r="H74" s="15">
        <f t="shared" ref="H74:I74" si="78">F74+H73</f>
        <v>3702.857143</v>
      </c>
      <c r="I74" s="16">
        <f t="shared" si="78"/>
        <v>61.71428571</v>
      </c>
      <c r="J74" s="31"/>
      <c r="K74" s="31"/>
      <c r="L74" s="31"/>
      <c r="M74" s="31"/>
      <c r="N74" s="31"/>
      <c r="O74" s="31"/>
      <c r="P74" s="31"/>
      <c r="Q74" s="31"/>
    </row>
    <row r="75">
      <c r="A75" s="9">
        <v>74.0</v>
      </c>
      <c r="B75" s="11">
        <v>2150.0</v>
      </c>
      <c r="C75" s="11">
        <v>5.0</v>
      </c>
      <c r="D75" s="27">
        <f t="shared" si="6"/>
        <v>66950</v>
      </c>
      <c r="E75" s="12">
        <f t="shared" si="7"/>
        <v>179</v>
      </c>
      <c r="F75" s="13">
        <f t="shared" si="3"/>
        <v>122.8571429</v>
      </c>
      <c r="G75" s="14">
        <f t="shared" si="4"/>
        <v>2.047619048</v>
      </c>
      <c r="H75" s="15">
        <f t="shared" ref="H75:I75" si="79">F75+H74</f>
        <v>3825.714286</v>
      </c>
      <c r="I75" s="16">
        <f t="shared" si="79"/>
        <v>63.76190476</v>
      </c>
      <c r="J75" s="31"/>
      <c r="K75" s="31"/>
      <c r="L75" s="31"/>
      <c r="M75" s="31"/>
      <c r="N75" s="31"/>
      <c r="O75" s="31"/>
      <c r="P75" s="31"/>
      <c r="Q75" s="31"/>
    </row>
    <row r="76">
      <c r="A76" s="9">
        <v>75.0</v>
      </c>
      <c r="B76" s="11">
        <v>2150.0</v>
      </c>
      <c r="C76" s="11">
        <v>5.0</v>
      </c>
      <c r="D76" s="27">
        <f t="shared" si="6"/>
        <v>69100</v>
      </c>
      <c r="E76" s="12">
        <f t="shared" si="7"/>
        <v>184</v>
      </c>
      <c r="F76" s="13">
        <f t="shared" si="3"/>
        <v>122.8571429</v>
      </c>
      <c r="G76" s="14">
        <f t="shared" si="4"/>
        <v>2.047619048</v>
      </c>
      <c r="H76" s="15">
        <f t="shared" ref="H76:I76" si="80">F76+H75</f>
        <v>3948.571429</v>
      </c>
      <c r="I76" s="16">
        <f t="shared" si="80"/>
        <v>65.80952381</v>
      </c>
      <c r="J76" s="31"/>
      <c r="K76" s="31"/>
      <c r="L76" s="31"/>
      <c r="M76" s="31"/>
      <c r="N76" s="31"/>
      <c r="O76" s="31"/>
      <c r="P76" s="31"/>
      <c r="Q76" s="31"/>
    </row>
    <row r="77">
      <c r="A77" s="9">
        <v>76.0</v>
      </c>
      <c r="B77" s="11">
        <v>2150.0</v>
      </c>
      <c r="C77" s="11">
        <v>5.0</v>
      </c>
      <c r="D77" s="27">
        <f t="shared" si="6"/>
        <v>71250</v>
      </c>
      <c r="E77" s="12">
        <f t="shared" si="7"/>
        <v>189</v>
      </c>
      <c r="F77" s="13">
        <f t="shared" si="3"/>
        <v>122.8571429</v>
      </c>
      <c r="G77" s="14">
        <f t="shared" si="4"/>
        <v>2.047619048</v>
      </c>
      <c r="H77" s="15">
        <f t="shared" ref="H77:I77" si="81">F77+H76</f>
        <v>4071.428571</v>
      </c>
      <c r="I77" s="16">
        <f t="shared" si="81"/>
        <v>67.85714286</v>
      </c>
      <c r="J77" s="31"/>
      <c r="K77" s="31"/>
      <c r="L77" s="31"/>
      <c r="M77" s="31"/>
      <c r="N77" s="31"/>
      <c r="O77" s="31"/>
      <c r="P77" s="31"/>
      <c r="Q77" s="31"/>
    </row>
    <row r="78">
      <c r="A78" s="9">
        <v>77.0</v>
      </c>
      <c r="B78" s="11">
        <v>2150.0</v>
      </c>
      <c r="C78" s="11">
        <v>5.0</v>
      </c>
      <c r="D78" s="27">
        <f t="shared" si="6"/>
        <v>73400</v>
      </c>
      <c r="E78" s="12">
        <f t="shared" si="7"/>
        <v>194</v>
      </c>
      <c r="F78" s="13">
        <f t="shared" si="3"/>
        <v>122.8571429</v>
      </c>
      <c r="G78" s="14">
        <f t="shared" si="4"/>
        <v>2.047619048</v>
      </c>
      <c r="H78" s="15">
        <f t="shared" ref="H78:I78" si="82">F78+H77</f>
        <v>4194.285714</v>
      </c>
      <c r="I78" s="16">
        <f t="shared" si="82"/>
        <v>69.9047619</v>
      </c>
      <c r="J78" s="31"/>
      <c r="K78" s="31"/>
      <c r="L78" s="31"/>
      <c r="M78" s="31"/>
      <c r="N78" s="31"/>
      <c r="O78" s="31"/>
      <c r="P78" s="31"/>
      <c r="Q78" s="31"/>
    </row>
    <row r="79">
      <c r="A79" s="9">
        <v>78.0</v>
      </c>
      <c r="B79" s="11">
        <v>2150.0</v>
      </c>
      <c r="C79" s="11">
        <v>5.0</v>
      </c>
      <c r="D79" s="27">
        <f t="shared" si="6"/>
        <v>75550</v>
      </c>
      <c r="E79" s="12">
        <f t="shared" si="7"/>
        <v>199</v>
      </c>
      <c r="F79" s="13">
        <f t="shared" si="3"/>
        <v>122.8571429</v>
      </c>
      <c r="G79" s="14">
        <f t="shared" si="4"/>
        <v>2.047619048</v>
      </c>
      <c r="H79" s="15">
        <f t="shared" ref="H79:I79" si="83">F79+H78</f>
        <v>4317.142857</v>
      </c>
      <c r="I79" s="16">
        <f t="shared" si="83"/>
        <v>71.95238095</v>
      </c>
      <c r="J79" s="31"/>
      <c r="K79" s="31"/>
      <c r="L79" s="31"/>
      <c r="M79" s="31"/>
      <c r="N79" s="31"/>
      <c r="O79" s="31"/>
      <c r="P79" s="31"/>
      <c r="Q79" s="31"/>
    </row>
    <row r="80">
      <c r="A80" s="9">
        <v>79.0</v>
      </c>
      <c r="B80" s="11">
        <v>2150.0</v>
      </c>
      <c r="C80" s="11">
        <v>5.0</v>
      </c>
      <c r="D80" s="27">
        <f t="shared" si="6"/>
        <v>77700</v>
      </c>
      <c r="E80" s="12">
        <f t="shared" si="7"/>
        <v>204</v>
      </c>
      <c r="F80" s="13">
        <f t="shared" si="3"/>
        <v>122.8571429</v>
      </c>
      <c r="G80" s="14">
        <f t="shared" si="4"/>
        <v>2.047619048</v>
      </c>
      <c r="H80" s="15">
        <f t="shared" ref="H80:I80" si="84">F80+H79</f>
        <v>4440</v>
      </c>
      <c r="I80" s="16">
        <f t="shared" si="84"/>
        <v>74</v>
      </c>
      <c r="J80" s="31"/>
      <c r="K80" s="31"/>
      <c r="L80" s="31"/>
      <c r="M80" s="31"/>
      <c r="N80" s="31"/>
      <c r="O80" s="31"/>
      <c r="P80" s="31"/>
      <c r="Q80" s="31"/>
    </row>
    <row r="81">
      <c r="A81" s="9">
        <v>80.0</v>
      </c>
      <c r="B81" s="11">
        <v>2150.0</v>
      </c>
      <c r="C81" s="11">
        <v>5.0</v>
      </c>
      <c r="D81" s="27">
        <f t="shared" si="6"/>
        <v>79850</v>
      </c>
      <c r="E81" s="12">
        <f t="shared" si="7"/>
        <v>209</v>
      </c>
      <c r="F81" s="13">
        <f t="shared" si="3"/>
        <v>122.8571429</v>
      </c>
      <c r="G81" s="14">
        <f t="shared" si="4"/>
        <v>2.047619048</v>
      </c>
      <c r="H81" s="15">
        <f t="shared" ref="H81:I81" si="85">F81+H80</f>
        <v>4562.857143</v>
      </c>
      <c r="I81" s="16">
        <f t="shared" si="85"/>
        <v>76.04761905</v>
      </c>
      <c r="J81" s="31"/>
      <c r="K81" s="31"/>
      <c r="L81" s="31"/>
      <c r="M81" s="31"/>
      <c r="N81" s="31"/>
      <c r="O81" s="31"/>
      <c r="P81" s="31"/>
      <c r="Q81" s="31"/>
    </row>
    <row r="82">
      <c r="A82" s="9">
        <v>81.0</v>
      </c>
      <c r="B82" s="11">
        <v>2150.0</v>
      </c>
      <c r="C82" s="11">
        <v>5.0</v>
      </c>
      <c r="D82" s="27">
        <f t="shared" si="6"/>
        <v>82000</v>
      </c>
      <c r="E82" s="12">
        <f t="shared" si="7"/>
        <v>214</v>
      </c>
      <c r="F82" s="13">
        <f t="shared" si="3"/>
        <v>122.8571429</v>
      </c>
      <c r="G82" s="14">
        <f t="shared" si="4"/>
        <v>2.047619048</v>
      </c>
      <c r="H82" s="15">
        <f t="shared" ref="H82:I82" si="86">F82+H81</f>
        <v>4685.714286</v>
      </c>
      <c r="I82" s="16">
        <f t="shared" si="86"/>
        <v>78.0952381</v>
      </c>
      <c r="J82" s="31"/>
      <c r="K82" s="31"/>
      <c r="L82" s="31"/>
      <c r="M82" s="31"/>
      <c r="N82" s="31"/>
      <c r="O82" s="31"/>
      <c r="P82" s="31"/>
      <c r="Q82" s="31"/>
    </row>
    <row r="83">
      <c r="A83" s="9">
        <v>82.0</v>
      </c>
      <c r="B83" s="11">
        <v>2150.0</v>
      </c>
      <c r="C83" s="11">
        <v>5.0</v>
      </c>
      <c r="D83" s="27">
        <f t="shared" si="6"/>
        <v>84150</v>
      </c>
      <c r="E83" s="12">
        <f t="shared" si="7"/>
        <v>219</v>
      </c>
      <c r="F83" s="13">
        <f t="shared" si="3"/>
        <v>122.8571429</v>
      </c>
      <c r="G83" s="14">
        <f t="shared" si="4"/>
        <v>2.047619048</v>
      </c>
      <c r="H83" s="15">
        <f t="shared" ref="H83:I83" si="87">F83+H82</f>
        <v>4808.571429</v>
      </c>
      <c r="I83" s="16">
        <f t="shared" si="87"/>
        <v>80.14285714</v>
      </c>
      <c r="J83" s="31"/>
      <c r="K83" s="31"/>
      <c r="L83" s="31"/>
      <c r="M83" s="31"/>
      <c r="N83" s="31"/>
      <c r="O83" s="31"/>
      <c r="P83" s="31"/>
      <c r="Q83" s="31"/>
    </row>
    <row r="84">
      <c r="A84" s="9">
        <v>83.0</v>
      </c>
      <c r="B84" s="11">
        <v>2150.0</v>
      </c>
      <c r="C84" s="11">
        <v>5.0</v>
      </c>
      <c r="D84" s="27">
        <f t="shared" si="6"/>
        <v>86300</v>
      </c>
      <c r="E84" s="12">
        <f t="shared" si="7"/>
        <v>224</v>
      </c>
      <c r="F84" s="13">
        <f t="shared" si="3"/>
        <v>122.8571429</v>
      </c>
      <c r="G84" s="14">
        <f t="shared" si="4"/>
        <v>2.047619048</v>
      </c>
      <c r="H84" s="15">
        <f t="shared" ref="H84:I84" si="88">F84+H83</f>
        <v>4931.428571</v>
      </c>
      <c r="I84" s="16">
        <f t="shared" si="88"/>
        <v>82.19047619</v>
      </c>
      <c r="J84" s="31"/>
      <c r="K84" s="31"/>
      <c r="L84" s="31"/>
      <c r="M84" s="31"/>
      <c r="N84" s="31"/>
      <c r="O84" s="31"/>
      <c r="P84" s="31"/>
      <c r="Q84" s="31"/>
    </row>
    <row r="85">
      <c r="A85" s="9">
        <v>84.0</v>
      </c>
      <c r="B85" s="11">
        <v>2150.0</v>
      </c>
      <c r="C85" s="11">
        <v>5.0</v>
      </c>
      <c r="D85" s="27">
        <f t="shared" si="6"/>
        <v>88450</v>
      </c>
      <c r="E85" s="12">
        <f t="shared" si="7"/>
        <v>229</v>
      </c>
      <c r="F85" s="13">
        <f t="shared" si="3"/>
        <v>122.8571429</v>
      </c>
      <c r="G85" s="14">
        <f t="shared" si="4"/>
        <v>2.047619048</v>
      </c>
      <c r="H85" s="15">
        <f t="shared" ref="H85:I85" si="89">F85+H84</f>
        <v>5054.285714</v>
      </c>
      <c r="I85" s="16">
        <f t="shared" si="89"/>
        <v>84.23809524</v>
      </c>
      <c r="J85" s="31"/>
      <c r="K85" s="31"/>
      <c r="L85" s="31"/>
      <c r="M85" s="31"/>
      <c r="N85" s="31"/>
      <c r="O85" s="31"/>
      <c r="P85" s="31"/>
      <c r="Q85" s="31"/>
    </row>
    <row r="86">
      <c r="A86" s="9">
        <v>85.0</v>
      </c>
      <c r="B86" s="11">
        <v>2150.0</v>
      </c>
      <c r="C86" s="11">
        <v>5.0</v>
      </c>
      <c r="D86" s="27">
        <f t="shared" si="6"/>
        <v>90600</v>
      </c>
      <c r="E86" s="12">
        <f t="shared" si="7"/>
        <v>234</v>
      </c>
      <c r="F86" s="13">
        <f t="shared" si="3"/>
        <v>122.8571429</v>
      </c>
      <c r="G86" s="14">
        <f t="shared" si="4"/>
        <v>2.047619048</v>
      </c>
      <c r="H86" s="15">
        <f t="shared" ref="H86:I86" si="90">F86+H85</f>
        <v>5177.142857</v>
      </c>
      <c r="I86" s="16">
        <f t="shared" si="90"/>
        <v>86.28571429</v>
      </c>
      <c r="J86" s="31"/>
      <c r="K86" s="31"/>
      <c r="L86" s="31"/>
      <c r="M86" s="31"/>
      <c r="N86" s="31"/>
      <c r="O86" s="31"/>
      <c r="P86" s="31"/>
      <c r="Q86" s="31"/>
    </row>
    <row r="87">
      <c r="A87" s="9">
        <v>86.0</v>
      </c>
      <c r="B87" s="11">
        <v>2150.0</v>
      </c>
      <c r="C87" s="11">
        <v>6.0</v>
      </c>
      <c r="D87" s="27">
        <f t="shared" si="6"/>
        <v>92750</v>
      </c>
      <c r="E87" s="12">
        <f t="shared" si="7"/>
        <v>240</v>
      </c>
      <c r="F87" s="13">
        <f t="shared" si="3"/>
        <v>122.8571429</v>
      </c>
      <c r="G87" s="14">
        <f t="shared" si="4"/>
        <v>2.047619048</v>
      </c>
      <c r="H87" s="15">
        <f t="shared" ref="H87:I87" si="91">F87+H86</f>
        <v>5300</v>
      </c>
      <c r="I87" s="16">
        <f t="shared" si="91"/>
        <v>88.33333333</v>
      </c>
      <c r="J87" s="31"/>
      <c r="K87" s="31"/>
      <c r="L87" s="31"/>
      <c r="M87" s="31"/>
      <c r="N87" s="31"/>
      <c r="O87" s="31"/>
      <c r="P87" s="31"/>
      <c r="Q87" s="31"/>
    </row>
    <row r="88">
      <c r="A88" s="9">
        <v>87.0</v>
      </c>
      <c r="B88" s="11">
        <v>2900.0</v>
      </c>
      <c r="C88" s="11">
        <v>6.0</v>
      </c>
      <c r="D88" s="27">
        <f t="shared" si="6"/>
        <v>95650</v>
      </c>
      <c r="E88" s="12">
        <f t="shared" si="7"/>
        <v>246</v>
      </c>
      <c r="F88" s="13">
        <f t="shared" si="3"/>
        <v>165.7142857</v>
      </c>
      <c r="G88" s="14">
        <f t="shared" si="4"/>
        <v>2.761904762</v>
      </c>
      <c r="H88" s="15">
        <f t="shared" ref="H88:I88" si="92">F88+H87</f>
        <v>5465.714286</v>
      </c>
      <c r="I88" s="16">
        <f t="shared" si="92"/>
        <v>91.0952381</v>
      </c>
      <c r="J88" s="31"/>
      <c r="K88" s="31"/>
      <c r="L88" s="31"/>
      <c r="M88" s="31"/>
      <c r="N88" s="31"/>
      <c r="O88" s="31"/>
      <c r="P88" s="31"/>
      <c r="Q88" s="31"/>
    </row>
    <row r="89">
      <c r="A89" s="9">
        <v>88.0</v>
      </c>
      <c r="B89" s="11">
        <v>2900.0</v>
      </c>
      <c r="C89" s="11">
        <v>6.0</v>
      </c>
      <c r="D89" s="27">
        <f t="shared" si="6"/>
        <v>98550</v>
      </c>
      <c r="E89" s="12">
        <f t="shared" si="7"/>
        <v>252</v>
      </c>
      <c r="F89" s="13">
        <f t="shared" si="3"/>
        <v>165.7142857</v>
      </c>
      <c r="G89" s="14">
        <f t="shared" si="4"/>
        <v>2.761904762</v>
      </c>
      <c r="H89" s="15">
        <f t="shared" ref="H89:I89" si="93">F89+H88</f>
        <v>5631.428571</v>
      </c>
      <c r="I89" s="16">
        <f t="shared" si="93"/>
        <v>93.85714286</v>
      </c>
      <c r="J89" s="31"/>
      <c r="K89" s="31"/>
      <c r="L89" s="31"/>
      <c r="M89" s="31"/>
      <c r="N89" s="31"/>
      <c r="O89" s="31"/>
      <c r="P89" s="31"/>
      <c r="Q89" s="31"/>
    </row>
    <row r="90">
      <c r="A90" s="9">
        <v>89.0</v>
      </c>
      <c r="B90" s="11">
        <v>2900.0</v>
      </c>
      <c r="C90" s="11">
        <v>6.0</v>
      </c>
      <c r="D90" s="27">
        <f t="shared" si="6"/>
        <v>101450</v>
      </c>
      <c r="E90" s="12">
        <f t="shared" si="7"/>
        <v>258</v>
      </c>
      <c r="F90" s="13">
        <f t="shared" si="3"/>
        <v>165.7142857</v>
      </c>
      <c r="G90" s="14">
        <f t="shared" si="4"/>
        <v>2.761904762</v>
      </c>
      <c r="H90" s="15">
        <f t="shared" ref="H90:I90" si="94">F90+H89</f>
        <v>5797.142857</v>
      </c>
      <c r="I90" s="16">
        <f t="shared" si="94"/>
        <v>96.61904762</v>
      </c>
      <c r="J90" s="31"/>
      <c r="K90" s="31"/>
      <c r="L90" s="31"/>
      <c r="M90" s="31"/>
      <c r="N90" s="31"/>
      <c r="O90" s="31"/>
      <c r="P90" s="31"/>
      <c r="Q90" s="31"/>
    </row>
    <row r="91">
      <c r="A91" s="9">
        <v>90.0</v>
      </c>
      <c r="B91" s="11">
        <v>2900.0</v>
      </c>
      <c r="C91" s="11">
        <v>6.0</v>
      </c>
      <c r="D91" s="27">
        <f t="shared" si="6"/>
        <v>104350</v>
      </c>
      <c r="E91" s="12">
        <f t="shared" si="7"/>
        <v>264</v>
      </c>
      <c r="F91" s="13">
        <f t="shared" si="3"/>
        <v>165.7142857</v>
      </c>
      <c r="G91" s="14">
        <f t="shared" si="4"/>
        <v>2.761904762</v>
      </c>
      <c r="H91" s="15">
        <f t="shared" ref="H91:I91" si="95">F91+H90</f>
        <v>5962.857143</v>
      </c>
      <c r="I91" s="16">
        <f t="shared" si="95"/>
        <v>99.38095238</v>
      </c>
      <c r="J91" s="31"/>
      <c r="K91" s="31"/>
      <c r="L91" s="31"/>
      <c r="M91" s="31"/>
      <c r="N91" s="31"/>
      <c r="O91" s="31"/>
      <c r="P91" s="31"/>
      <c r="Q91" s="31"/>
    </row>
    <row r="92">
      <c r="A92" s="9">
        <v>91.0</v>
      </c>
      <c r="B92" s="11">
        <v>2900.0</v>
      </c>
      <c r="C92" s="11">
        <v>6.0</v>
      </c>
      <c r="D92" s="27">
        <f t="shared" si="6"/>
        <v>107250</v>
      </c>
      <c r="E92" s="12">
        <f t="shared" si="7"/>
        <v>270</v>
      </c>
      <c r="F92" s="13">
        <f t="shared" si="3"/>
        <v>165.7142857</v>
      </c>
      <c r="G92" s="14">
        <f t="shared" si="4"/>
        <v>2.761904762</v>
      </c>
      <c r="H92" s="15">
        <f t="shared" ref="H92:I92" si="96">F92+H91</f>
        <v>6128.571429</v>
      </c>
      <c r="I92" s="16">
        <f t="shared" si="96"/>
        <v>102.1428571</v>
      </c>
      <c r="J92" s="31"/>
      <c r="K92" s="31"/>
      <c r="L92" s="31"/>
      <c r="M92" s="31"/>
      <c r="N92" s="31"/>
      <c r="O92" s="31"/>
      <c r="P92" s="31"/>
      <c r="Q92" s="31"/>
    </row>
    <row r="93">
      <c r="A93" s="9">
        <v>92.0</v>
      </c>
      <c r="B93" s="11">
        <v>2900.0</v>
      </c>
      <c r="C93" s="11">
        <v>6.0</v>
      </c>
      <c r="D93" s="27">
        <f t="shared" si="6"/>
        <v>110150</v>
      </c>
      <c r="E93" s="12">
        <f t="shared" si="7"/>
        <v>276</v>
      </c>
      <c r="F93" s="13">
        <f t="shared" si="3"/>
        <v>165.7142857</v>
      </c>
      <c r="G93" s="14">
        <f t="shared" si="4"/>
        <v>2.761904762</v>
      </c>
      <c r="H93" s="15">
        <f t="shared" ref="H93:I93" si="97">F93+H92</f>
        <v>6294.285714</v>
      </c>
      <c r="I93" s="16">
        <f t="shared" si="97"/>
        <v>104.9047619</v>
      </c>
      <c r="J93" s="31"/>
      <c r="K93" s="31"/>
      <c r="L93" s="31"/>
      <c r="M93" s="31"/>
      <c r="N93" s="31"/>
      <c r="O93" s="31"/>
      <c r="P93" s="31"/>
      <c r="Q93" s="31"/>
    </row>
    <row r="94">
      <c r="A94" s="9">
        <v>93.0</v>
      </c>
      <c r="B94" s="11">
        <v>2900.0</v>
      </c>
      <c r="C94" s="11">
        <v>6.0</v>
      </c>
      <c r="D94" s="27">
        <f t="shared" si="6"/>
        <v>113050</v>
      </c>
      <c r="E94" s="12">
        <f t="shared" si="7"/>
        <v>282</v>
      </c>
      <c r="F94" s="13">
        <f t="shared" si="3"/>
        <v>165.7142857</v>
      </c>
      <c r="G94" s="14">
        <f t="shared" si="4"/>
        <v>2.761904762</v>
      </c>
      <c r="H94" s="15">
        <f t="shared" ref="H94:I94" si="98">F94+H93</f>
        <v>6460</v>
      </c>
      <c r="I94" s="16">
        <f t="shared" si="98"/>
        <v>107.6666667</v>
      </c>
      <c r="J94" s="31"/>
      <c r="K94" s="31"/>
      <c r="L94" s="31"/>
      <c r="M94" s="31"/>
      <c r="N94" s="31"/>
      <c r="O94" s="31"/>
      <c r="P94" s="31"/>
      <c r="Q94" s="31"/>
    </row>
    <row r="95">
      <c r="A95" s="9">
        <v>94.0</v>
      </c>
      <c r="B95" s="11">
        <v>2900.0</v>
      </c>
      <c r="C95" s="11">
        <v>6.0</v>
      </c>
      <c r="D95" s="27">
        <f t="shared" si="6"/>
        <v>115950</v>
      </c>
      <c r="E95" s="12">
        <f t="shared" si="7"/>
        <v>288</v>
      </c>
      <c r="F95" s="13">
        <f t="shared" si="3"/>
        <v>165.7142857</v>
      </c>
      <c r="G95" s="14">
        <f t="shared" si="4"/>
        <v>2.761904762</v>
      </c>
      <c r="H95" s="15">
        <f t="shared" ref="H95:I95" si="99">F95+H94</f>
        <v>6625.714286</v>
      </c>
      <c r="I95" s="16">
        <f t="shared" si="99"/>
        <v>110.4285714</v>
      </c>
      <c r="J95" s="31"/>
      <c r="K95" s="31"/>
      <c r="L95" s="31"/>
      <c r="M95" s="31"/>
      <c r="N95" s="31"/>
      <c r="O95" s="31"/>
      <c r="P95" s="31"/>
      <c r="Q95" s="31"/>
    </row>
    <row r="96">
      <c r="A96" s="9">
        <v>95.0</v>
      </c>
      <c r="B96" s="11">
        <v>2900.0</v>
      </c>
      <c r="C96" s="11">
        <v>6.0</v>
      </c>
      <c r="D96" s="27">
        <f t="shared" si="6"/>
        <v>118850</v>
      </c>
      <c r="E96" s="12">
        <f t="shared" si="7"/>
        <v>294</v>
      </c>
      <c r="F96" s="13">
        <f t="shared" si="3"/>
        <v>165.7142857</v>
      </c>
      <c r="G96" s="14">
        <f t="shared" si="4"/>
        <v>2.761904762</v>
      </c>
      <c r="H96" s="15">
        <f t="shared" ref="H96:I96" si="100">F96+H95</f>
        <v>6791.428571</v>
      </c>
      <c r="I96" s="16">
        <f t="shared" si="100"/>
        <v>113.1904762</v>
      </c>
      <c r="J96" s="31"/>
      <c r="K96" s="31"/>
      <c r="L96" s="31"/>
      <c r="M96" s="31"/>
      <c r="N96" s="31"/>
      <c r="O96" s="31"/>
      <c r="P96" s="31"/>
      <c r="Q96" s="31"/>
    </row>
    <row r="97">
      <c r="A97" s="9">
        <v>96.0</v>
      </c>
      <c r="B97" s="11">
        <v>2900.0</v>
      </c>
      <c r="C97" s="11">
        <v>6.0</v>
      </c>
      <c r="D97" s="27">
        <f t="shared" si="6"/>
        <v>121750</v>
      </c>
      <c r="E97" s="12">
        <f t="shared" si="7"/>
        <v>300</v>
      </c>
      <c r="F97" s="13">
        <f t="shared" si="3"/>
        <v>165.7142857</v>
      </c>
      <c r="G97" s="14">
        <f t="shared" si="4"/>
        <v>2.761904762</v>
      </c>
      <c r="H97" s="15">
        <f t="shared" ref="H97:I97" si="101">F97+H96</f>
        <v>6957.142857</v>
      </c>
      <c r="I97" s="16">
        <f t="shared" si="101"/>
        <v>115.952381</v>
      </c>
      <c r="J97" s="31"/>
      <c r="K97" s="31"/>
      <c r="L97" s="31"/>
      <c r="M97" s="31"/>
      <c r="N97" s="31"/>
      <c r="O97" s="31"/>
      <c r="P97" s="31"/>
      <c r="Q97" s="31"/>
    </row>
    <row r="98">
      <c r="A98" s="9">
        <v>97.0</v>
      </c>
      <c r="B98" s="11">
        <v>2900.0</v>
      </c>
      <c r="C98" s="11">
        <v>6.0</v>
      </c>
      <c r="D98" s="27">
        <f t="shared" si="6"/>
        <v>124650</v>
      </c>
      <c r="E98" s="12">
        <f t="shared" si="7"/>
        <v>306</v>
      </c>
      <c r="F98" s="13">
        <f t="shared" si="3"/>
        <v>165.7142857</v>
      </c>
      <c r="G98" s="14">
        <f t="shared" si="4"/>
        <v>2.761904762</v>
      </c>
      <c r="H98" s="15">
        <f t="shared" ref="H98:I98" si="102">F98+H97</f>
        <v>7122.857143</v>
      </c>
      <c r="I98" s="16">
        <f t="shared" si="102"/>
        <v>118.7142857</v>
      </c>
      <c r="J98" s="31"/>
      <c r="K98" s="31"/>
      <c r="L98" s="31"/>
      <c r="M98" s="31"/>
      <c r="N98" s="31"/>
      <c r="O98" s="31"/>
      <c r="P98" s="31"/>
      <c r="Q98" s="31"/>
    </row>
    <row r="99">
      <c r="A99" s="9">
        <v>98.0</v>
      </c>
      <c r="B99" s="11">
        <v>2900.0</v>
      </c>
      <c r="C99" s="11">
        <v>6.0</v>
      </c>
      <c r="D99" s="27">
        <f t="shared" si="6"/>
        <v>127550</v>
      </c>
      <c r="E99" s="12">
        <f t="shared" si="7"/>
        <v>312</v>
      </c>
      <c r="F99" s="13">
        <f t="shared" si="3"/>
        <v>165.7142857</v>
      </c>
      <c r="G99" s="14">
        <f t="shared" si="4"/>
        <v>2.761904762</v>
      </c>
      <c r="H99" s="15">
        <f t="shared" ref="H99:I99" si="103">F99+H98</f>
        <v>7288.571429</v>
      </c>
      <c r="I99" s="16">
        <f t="shared" si="103"/>
        <v>121.4761905</v>
      </c>
      <c r="J99" s="31"/>
      <c r="K99" s="31"/>
      <c r="L99" s="31"/>
      <c r="M99" s="31"/>
      <c r="N99" s="31"/>
      <c r="O99" s="31"/>
      <c r="P99" s="31"/>
      <c r="Q99" s="31"/>
    </row>
    <row r="100">
      <c r="A100" s="9">
        <v>99.0</v>
      </c>
      <c r="B100" s="11">
        <v>2900.0</v>
      </c>
      <c r="C100" s="11">
        <v>6.0</v>
      </c>
      <c r="D100" s="27">
        <f t="shared" si="6"/>
        <v>130450</v>
      </c>
      <c r="E100" s="12">
        <f t="shared" si="7"/>
        <v>318</v>
      </c>
      <c r="F100" s="13">
        <f t="shared" si="3"/>
        <v>165.7142857</v>
      </c>
      <c r="G100" s="14">
        <f t="shared" si="4"/>
        <v>2.761904762</v>
      </c>
      <c r="H100" s="15">
        <f t="shared" ref="H100:I100" si="104">F100+H99</f>
        <v>7454.285714</v>
      </c>
      <c r="I100" s="16">
        <f t="shared" si="104"/>
        <v>124.2380952</v>
      </c>
      <c r="J100" s="31"/>
      <c r="K100" s="31"/>
      <c r="L100" s="31"/>
      <c r="M100" s="31"/>
      <c r="N100" s="31"/>
      <c r="O100" s="31"/>
      <c r="P100" s="31"/>
      <c r="Q100" s="31"/>
    </row>
    <row r="101">
      <c r="A101" s="9">
        <v>100.0</v>
      </c>
      <c r="B101" s="11">
        <v>2900.0</v>
      </c>
      <c r="C101" s="11">
        <v>6.0</v>
      </c>
      <c r="D101" s="27">
        <f t="shared" si="6"/>
        <v>133350</v>
      </c>
      <c r="E101" s="12">
        <f t="shared" si="7"/>
        <v>324</v>
      </c>
      <c r="F101" s="13">
        <f t="shared" si="3"/>
        <v>165.7142857</v>
      </c>
      <c r="G101" s="14">
        <f t="shared" si="4"/>
        <v>2.761904762</v>
      </c>
      <c r="H101" s="15">
        <f t="shared" ref="H101:I101" si="105">F101+H100</f>
        <v>7620</v>
      </c>
      <c r="I101" s="16">
        <f t="shared" si="105"/>
        <v>127</v>
      </c>
      <c r="J101" s="31"/>
      <c r="K101" s="31"/>
      <c r="L101" s="31"/>
      <c r="M101" s="31"/>
      <c r="N101" s="31"/>
      <c r="O101" s="31"/>
      <c r="P101" s="31"/>
      <c r="Q101" s="31"/>
    </row>
    <row r="102">
      <c r="A102" s="34"/>
      <c r="B102" s="11"/>
      <c r="C102" s="11"/>
      <c r="D102" s="34"/>
      <c r="E102" s="34"/>
      <c r="F102" s="35"/>
      <c r="G102" s="36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>
      <c r="A103" s="34"/>
      <c r="B103" s="34"/>
      <c r="C103" s="34"/>
      <c r="D103" s="34"/>
      <c r="E103" s="34"/>
      <c r="F103" s="35"/>
      <c r="G103" s="36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>
      <c r="A104" s="34"/>
      <c r="B104" s="34"/>
      <c r="C104" s="34"/>
      <c r="D104" s="34"/>
      <c r="E104" s="34"/>
      <c r="F104" s="35"/>
      <c r="G104" s="36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>
      <c r="A105" s="34"/>
      <c r="B105" s="34"/>
      <c r="C105" s="34"/>
      <c r="D105" s="34"/>
      <c r="E105" s="34"/>
      <c r="F105" s="35"/>
      <c r="G105" s="36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>
      <c r="A106" s="34"/>
      <c r="B106" s="34"/>
      <c r="C106" s="34"/>
      <c r="D106" s="34"/>
      <c r="E106" s="34"/>
      <c r="F106" s="35"/>
      <c r="G106" s="36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>
      <c r="A107" s="34"/>
      <c r="B107" s="34"/>
      <c r="C107" s="34"/>
      <c r="D107" s="34"/>
      <c r="E107" s="34"/>
      <c r="F107" s="35"/>
      <c r="G107" s="36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>
      <c r="A108" s="34"/>
      <c r="B108" s="34"/>
      <c r="C108" s="34"/>
      <c r="D108" s="34"/>
      <c r="E108" s="34"/>
      <c r="F108" s="35"/>
      <c r="G108" s="36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>
      <c r="A109" s="34"/>
      <c r="B109" s="34"/>
      <c r="C109" s="34"/>
      <c r="D109" s="34"/>
      <c r="E109" s="34"/>
      <c r="F109" s="35"/>
      <c r="G109" s="36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>
      <c r="A110" s="34"/>
      <c r="B110" s="34"/>
      <c r="C110" s="34"/>
      <c r="D110" s="34"/>
      <c r="E110" s="34"/>
      <c r="F110" s="35"/>
      <c r="G110" s="36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>
      <c r="A111" s="34"/>
      <c r="B111" s="34"/>
      <c r="C111" s="34"/>
      <c r="D111" s="34"/>
      <c r="E111" s="34"/>
      <c r="F111" s="35"/>
      <c r="G111" s="36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>
      <c r="A112" s="34"/>
      <c r="B112" s="34"/>
      <c r="C112" s="34"/>
      <c r="D112" s="34"/>
      <c r="E112" s="34"/>
      <c r="F112" s="35"/>
      <c r="G112" s="36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>
      <c r="A113" s="34"/>
      <c r="B113" s="34"/>
      <c r="C113" s="34"/>
      <c r="D113" s="34"/>
      <c r="E113" s="34"/>
      <c r="F113" s="35"/>
      <c r="G113" s="36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>
      <c r="A114" s="34"/>
      <c r="B114" s="34"/>
      <c r="C114" s="34"/>
      <c r="D114" s="34"/>
      <c r="E114" s="34"/>
      <c r="F114" s="35"/>
      <c r="G114" s="36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>
      <c r="A115" s="34"/>
      <c r="B115" s="34"/>
      <c r="C115" s="34"/>
      <c r="D115" s="34"/>
      <c r="E115" s="34"/>
      <c r="F115" s="35"/>
      <c r="G115" s="36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>
      <c r="A116" s="34"/>
      <c r="B116" s="34"/>
      <c r="C116" s="34"/>
      <c r="D116" s="34"/>
      <c r="E116" s="34"/>
      <c r="F116" s="35"/>
      <c r="G116" s="36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>
      <c r="A117" s="34"/>
      <c r="B117" s="34"/>
      <c r="C117" s="34"/>
      <c r="D117" s="34"/>
      <c r="E117" s="34"/>
      <c r="F117" s="35"/>
      <c r="G117" s="36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>
      <c r="A118" s="34"/>
      <c r="B118" s="34"/>
      <c r="C118" s="34"/>
      <c r="D118" s="34"/>
      <c r="E118" s="34"/>
      <c r="F118" s="35"/>
      <c r="G118" s="36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>
      <c r="A119" s="34"/>
      <c r="B119" s="34"/>
      <c r="C119" s="34"/>
      <c r="D119" s="34"/>
      <c r="E119" s="34"/>
      <c r="F119" s="35"/>
      <c r="G119" s="36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>
      <c r="A120" s="34"/>
      <c r="B120" s="34"/>
      <c r="C120" s="34"/>
      <c r="D120" s="34"/>
      <c r="E120" s="34"/>
      <c r="F120" s="35"/>
      <c r="G120" s="36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>
      <c r="A121" s="34"/>
      <c r="B121" s="34"/>
      <c r="C121" s="34"/>
      <c r="D121" s="34"/>
      <c r="E121" s="34"/>
      <c r="F121" s="35"/>
      <c r="G121" s="36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</sheetData>
  <dataValidations>
    <dataValidation type="list" allowBlank="1" showErrorMessage="1" sqref="K6">
      <formula1>"True,False"</formula1>
    </dataValidation>
    <dataValidation type="list" allowBlank="1" showErrorMessage="1" sqref="J6">
      <formula1>"Story Mode,Battle Mode,Tournament Mode"</formula1>
    </dataValidation>
  </dataValidations>
  <drawing r:id="rId1"/>
</worksheet>
</file>