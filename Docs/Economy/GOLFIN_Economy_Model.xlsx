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ources" sheetId="2" state="visible" r:id="rId4"/>
    <sheet name="Sinks" sheetId="3" state="visible" r:id="rId5"/>
    <sheet name="LevelUpCosts" sheetId="4" state="visible" r:id="rId6"/>
    <sheet name="Progression" sheetId="5" state="visible" r:id="rId7"/>
    <sheet name="ClubEconomy" sheetId="6" state="visible" r:id="rId8"/>
    <sheet name="Tournaments" sheetId="7" state="visible" r:id="rId9"/>
    <sheet name="PaidTrac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<sst xmlns="http://schemas.openxmlformats.org/spreadsheetml/2006/main" count="163" uniqueCount="137">
  <si>
    <t xml:space="preserve">GOLFIN Economy Model</t>
  </si>
  <si>
    <t xml:space="preserve">Built 2026-08-19 from the live repo/backend values (post-÷10 rebalance of 2026-08-12).</t>
  </si>
  <si>
    <t xml:space="preserve">Replaces the outdated 'New levels.xlsx' Ken's AI reviewed (its values were pre-÷10 and pre-cutover).</t>
  </si>
  <si>
    <t xml:space="preserve">Legend</t>
  </si>
  <si>
    <t xml:space="preserve">Blue text</t>
  </si>
  <si>
    <t xml:space="preserve">editable assumption / scenario lever</t>
  </si>
  <si>
    <t xml:space="preserve">Black text</t>
  </si>
  <si>
    <t xml:space="preserve">formula — recalculates</t>
  </si>
  <si>
    <t xml:space="preserve">Yellow fill</t>
  </si>
  <si>
    <t xml:space="preserve">key assumption to review</t>
  </si>
  <si>
    <t xml:space="preserve">Sources of record</t>
  </si>
  <si>
    <t xml:space="preserve">Earn actions &amp; values</t>
  </si>
  <si>
    <t xml:space="preserve">playlife game_point_actions catalog + Slice 2 rebalance (RP_REBALANCE.md)</t>
  </si>
  <si>
    <t xml:space="preserve">Level-up costs</t>
  </si>
  <si>
    <t xml:space="preserve">Assets/Data/LevelUpCosts.csv (240 rows, cost_r = ceil(level/2))</t>
  </si>
  <si>
    <t xml:space="preserve">Shop / stamina / prizes / gacha</t>
  </si>
  <si>
    <t xml:space="preserve">Assets/Resources/Data/*.csv</t>
  </si>
  <si>
    <t xml:space="preserve">Policy layer</t>
  </si>
  <si>
    <t xml:space="preserve">ECONOMY_MASTER.md (same folder) — the Ken-facing document</t>
  </si>
  <si>
    <t xml:space="preserve">RP EARN ACTIONS (server catalog game_point_actions — the ONLY ways RP enters)</t>
  </si>
  <si>
    <t xml:space="preserve">Action</t>
  </si>
  <si>
    <t xml:space="preserve">RP</t>
  </si>
  <si>
    <t xml:space="preserve">Cadence / cap</t>
  </si>
  <si>
    <t xml:space="preserve">Note</t>
  </si>
  <si>
    <t xml:space="preserve">hole_complete</t>
  </si>
  <si>
    <t xml:space="preserve">per hole finished</t>
  </si>
  <si>
    <t xml:space="preserve">core loop earn</t>
  </si>
  <si>
    <t xml:space="preserve">hole_replay</t>
  </si>
  <si>
    <t xml:space="preserve">per replayed hole</t>
  </si>
  <si>
    <t xml:space="preserve">reduced pool on replays</t>
  </si>
  <si>
    <t xml:space="preserve">versus_win</t>
  </si>
  <si>
    <t xml:space="preserve">per 1v1 win</t>
  </si>
  <si>
    <t xml:space="preserve">modes.csv reward1Amount</t>
  </si>
  <si>
    <t xml:space="preserve">tournament_prize</t>
  </si>
  <si>
    <t xml:space="preserve">per prize band</t>
  </si>
  <si>
    <t xml:space="preserve">cap 2,000 per event</t>
  </si>
  <si>
    <t xml:space="preserve">granted at resolve via earn_pts_v2</t>
  </si>
  <si>
    <t xml:space="preserve">GPS visit verification</t>
  </si>
  <si>
    <t xml:space="preserve">10–50</t>
  </si>
  <si>
    <t xml:space="preserve">per verified visit</t>
  </si>
  <si>
    <t xml:space="preserve">partner-app earn, shared ledger; never ranks on leaderboards</t>
  </si>
  <si>
    <t xml:space="preserve">admin grant</t>
  </si>
  <si>
    <t xml:space="preserve">manual</t>
  </si>
  <si>
    <t xml:space="preserve">dashboard</t>
  </si>
  <si>
    <t xml:space="preserve">ops only; never ranks</t>
  </si>
  <si>
    <t xml:space="preserve">DAILY EARN SCENARIO (edit blue)</t>
  </si>
  <si>
    <t xml:space="preserve">Holes finished / day</t>
  </si>
  <si>
    <t xml:space="preserve">Replays / day</t>
  </si>
  <si>
    <t xml:space="preserve">1v1 wins / day</t>
  </si>
  <si>
    <t xml:space="preserve">GPS visits / day (avg 30 RP)</t>
  </si>
  <si>
    <t xml:space="preserve">Daily RP earned</t>
  </si>
  <si>
    <t xml:space="preserve">DAILY RECURRING SPEND (edit blue — LIVE sinks only)</t>
  </si>
  <si>
    <t xml:space="preserve">Practice rounds / day (x10 RP)</t>
  </si>
  <si>
    <t xml:space="preserve">Tournament entries / day (avg fee)</t>
  </si>
  <si>
    <t xml:space="preserve">Stamina boosts / day (avg 20 RP)</t>
  </si>
  <si>
    <t xml:space="preserve">Daily RP spent (recurring)</t>
  </si>
  <si>
    <t xml:space="preserve">NET daily RP (funds level-ups &amp; purchases)</t>
  </si>
  <si>
    <t xml:space="preserve">RP SINKS (live values)</t>
  </si>
  <si>
    <t xml:space="preserve">Sink</t>
  </si>
  <si>
    <t xml:space="preserve">Status</t>
  </si>
  <si>
    <t xml:space="preserve">Practice entry fee</t>
  </si>
  <si>
    <t xml:space="preserve">LIVE</t>
  </si>
  <si>
    <t xml:space="preserve">modes.csv</t>
  </si>
  <si>
    <t xml:space="preserve">Tournament entry fee</t>
  </si>
  <si>
    <t xml:space="preserve">0 / 10 / 50</t>
  </si>
  <si>
    <t xml:space="preserve">per tournament (admin-set); debited server-side pre-entry</t>
  </si>
  <si>
    <t xml:space="preserve">Character/club level-up</t>
  </si>
  <si>
    <t xml:space="preserve">ceil(level/2) per level</t>
  </si>
  <si>
    <t xml:space="preserve">LevelUpCosts.csv — see Progression tab</t>
  </si>
  <si>
    <t xml:space="preserve">Shop: clubs</t>
  </si>
  <si>
    <t xml:space="preserve">100–600 (sale 80–600)</t>
  </si>
  <si>
    <t xml:space="preserve">shop_catalog.csv, 7 legacy clubs today; roster pricing → ClubEconomy tab</t>
  </si>
  <si>
    <t xml:space="preserve">Stamina shop items</t>
  </si>
  <si>
    <t xml:space="preserve">12–31</t>
  </si>
  <si>
    <t xml:space="preserve">ShopTransaction→PointsSpendGate (spend reason stamina_boost); tournament stamina ISOLATED per tournament (Cesar [d])</t>
  </si>
  <si>
    <t xml:space="preserve">Shop: balls</t>
  </si>
  <si>
    <t xml:space="preserve">50 (sale 35)</t>
  </si>
  <si>
    <t xml:space="preserve">DORMANT</t>
  </si>
  <si>
    <t xml:space="preserve">balls stack as quantity (BallData) but NO consumption on play exists — one-time buys, not recurring</t>
  </si>
  <si>
    <t xml:space="preserve">Repairs (durability)</t>
  </si>
  <si>
    <t xml:space="preserve">RepairKit items</t>
  </si>
  <si>
    <t xml:space="preserve">UseBestRepairKit restores durability, but NOTHING in gameplay ever decreases currentDurability — wear is unimplemented</t>
  </si>
  <si>
    <t xml:space="preserve">Gacha x1 / x10</t>
  </si>
  <si>
    <t xml:space="preserve">50–75 / 450–675</t>
  </si>
  <si>
    <t xml:space="preserve">gacha_banners.csv — prize pool is a STATIC MOCK (GachaMockPrizePool.cs), no real ticket spend</t>
  </si>
  <si>
    <t xml:space="preserve">⚠ Only entry fees, level-ups and stamina boosts recur as live sinks today. Repairs, ball consumption and gacha are DESIGNED sinks awaiting mechanics — the economy currently leaks upward once a player caps their roster.</t>
  </si>
  <si>
    <t xml:space="preserve">level</t>
  </si>
  <si>
    <t xml:space="preserve">cost_r</t>
  </si>
  <si>
    <t xml:space="preserve">sp_reward</t>
  </si>
  <si>
    <t xml:space="preserve">CHARACTER/CLUB PROGRESSION COST (from LevelUpCosts tab — formulas)</t>
  </si>
  <si>
    <t xml:space="preserve">Tier</t>
  </si>
  <si>
    <t xml:space="preserve">Levels</t>
  </si>
  <si>
    <t xml:space="preserve">RP cost for tier (SUMIFS)</t>
  </si>
  <si>
    <t xml:space="preserve">Cumulative RP</t>
  </si>
  <si>
    <t xml:space="preserve">Days at daily earn</t>
  </si>
  <si>
    <t xml:space="preserve">Common</t>
  </si>
  <si>
    <t xml:space="preserve">10–39</t>
  </si>
  <si>
    <t xml:space="preserve">Uncommon</t>
  </si>
  <si>
    <t xml:space="preserve">40–79</t>
  </si>
  <si>
    <t xml:space="preserve">Rare</t>
  </si>
  <si>
    <t xml:space="preserve">80–119</t>
  </si>
  <si>
    <t xml:space="preserve">Mythic</t>
  </si>
  <si>
    <t xml:space="preserve">120–159</t>
  </si>
  <si>
    <t xml:space="preserve">Legendary</t>
  </si>
  <si>
    <t xml:space="preserve">160–199</t>
  </si>
  <si>
    <t xml:space="preserve">Supreme</t>
  </si>
  <si>
    <t xml:space="preserve">200–239</t>
  </si>
  <si>
    <t xml:space="preserve">TOTAL (levels 1–240)</t>
  </si>
  <si>
    <t xml:space="preserve">Note: levels 1–9 precede the Common band (starting levels are 10/40/80/120/160/200 per rarity); their cost is included in TOTAL.</t>
  </si>
  <si>
    <t xml:space="preserve">CLUB ROSTER ECONOMY (C2 roster: 799 clubs = 19 brands x 7 types x 6 rarities + 7 legacy)</t>
  </si>
  <si>
    <t xml:space="preserve">Rarity</t>
  </si>
  <si>
    <t xml:space="preserve">Proposed shop RP (edit)</t>
  </si>
  <si>
    <t xml:space="preserve">Days to afford</t>
  </si>
  <si>
    <t xml:space="preserve">Clubs at this rarity</t>
  </si>
  <si>
    <t xml:space="preserve">Anchors: legacy shop prices 100–600 RP; agreed rule — rarity acquired with RP ONLY, never money (Cesar [i]).</t>
  </si>
  <si>
    <t xml:space="preserve">Recommendation: shop stocks a rotating subset; Supreme optionally earn-only (tournament prizes) to keep scarcity.</t>
  </si>
  <si>
    <t xml:space="preserve">PRIZE TABLES (tournament_prizes.csv) — pool math by formula</t>
  </si>
  <si>
    <t xml:space="preserve">Table</t>
  </si>
  <si>
    <t xml:space="preserve">From</t>
  </si>
  <si>
    <t xml:space="preserve">To</t>
  </si>
  <si>
    <t xml:space="preserve">Places (=To-From+1)</t>
  </si>
  <si>
    <t xml:space="preserve">Band total (=RP*Places)</t>
  </si>
  <si>
    <t xml:space="preserve">prize_small</t>
  </si>
  <si>
    <t xml:space="preserve">prize_medium</t>
  </si>
  <si>
    <t xml:space="preserve">prize_major</t>
  </si>
  <si>
    <t xml:space="preserve">Pool totals</t>
  </si>
  <si>
    <t xml:space="preserve">Cap check: max single band RP</t>
  </si>
  <si>
    <t xml:space="preserve">server cap 2,000/event</t>
  </si>
  <si>
    <t xml:space="preserve">PAID (REAL-MONEY) TRACK — POLICY, NOT IMPLEMENTATION</t>
  </si>
  <si>
    <t xml:space="preserve">Current state: NOTHING is sold for real money. RP cannot be purchased. (Cesar [a][g], live code verified.)</t>
  </si>
  <si>
    <t xml:space="preserve">Standing rule (agreed Ken/Cesar): no pay-to-win. Rarity/progression acquired with RP only. (Cesar [i])</t>
  </si>
  <si>
    <t xml:space="preserve">Never sold: rarity items for money; RP/XP/materials; stamina recovery for money; repairs for paid currency;</t>
  </si>
  <si>
    <t xml:space="preserve">  stat-carrying skins; tournament slots/priority; RP cash-out (sponsor prize exchange only).</t>
  </si>
  <si>
    <t xml:space="preserve">Sellable when real cosmetics EXIST (3D avatars / club skins — none yet): skins/cosmetics with zero stats,</t>
  </si>
  <si>
    <t xml:space="preserve">  emotes/effects/spectator features, season pass with cosmetic+title rewards only.</t>
  </si>
  <si>
    <t xml:space="preserve">Gate: the paid track opens only after cosmetic CONTENT ships; it is a content problem, not an economy problem.</t>
  </si>
  <si>
    <t xml:space="preserve">B2B (not user payments): golf-course subscriptions, sponsor campaigns — split 50% rewards / 40% GOLFIN / 10% host course.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</si>
</sst>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 t="s">
        <v>1</v>
      </c>
      <c r="B2" s="2"/>
    </row>
    <row r="3" customFormat="false" ht="15" hidden="false" customHeight="false" outlineLevel="0" collapsed="false">
      <c r="A3" s="2" t="s">
        <v>2</v>
      </c>
      <c r="B3" s="2"/>
    </row>
    <row r="4" customFormat="false" ht="15" hidden="false" customHeight="false" outlineLevel="0" collapsed="false">
      <c r="A4" s="2"/>
      <c r="B4" s="2"/>
    </row>
    <row r="5" customFormat="false" ht="15" hidden="false" customHeight="false" outlineLevel="0" collapsed="false">
      <c r="A5" s="3" t="s">
        <v>3</v>
      </c>
      <c r="B5" s="2"/>
    </row>
    <row r="6" customFormat="false" ht="15" hidden="false" customHeight="false" outlineLevel="0" collapsed="false">
      <c r="A6" s="2" t="s">
        <v>4</v>
      </c>
      <c r="B6" s="2" t="s">
        <v>5</v>
      </c>
    </row>
    <row r="7" customFormat="false" ht="15" hidden="false" customHeight="false" outlineLevel="0" collapsed="false">
      <c r="A7" s="2" t="s">
        <v>6</v>
      </c>
      <c r="B7" s="2" t="s">
        <v>7</v>
      </c>
    </row>
    <row r="8" customFormat="false" ht="15" hidden="false" customHeight="false" outlineLevel="0" collapsed="false">
      <c r="A8" s="2" t="s">
        <v>8</v>
      </c>
      <c r="B8" s="2" t="s">
        <v>9</v>
      </c>
    </row>
    <row r="9" customFormat="false" ht="15" hidden="false" customHeight="false" outlineLevel="0" collapsed="false">
      <c r="A9" s="2"/>
      <c r="B9" s="2"/>
    </row>
    <row r="10" customFormat="false" ht="15" hidden="false" customHeight="false" outlineLevel="0" collapsed="false">
      <c r="A10" s="3" t="s">
        <v>10</v>
      </c>
      <c r="B10" s="2"/>
    </row>
    <row r="11" customFormat="false" ht="15" hidden="false" customHeight="false" outlineLevel="0" collapsed="false">
      <c r="A11" s="2" t="s">
        <v>11</v>
      </c>
      <c r="B11" s="2" t="s">
        <v>12</v>
      </c>
    </row>
    <row r="12" customFormat="false" ht="15" hidden="false" customHeight="false" outlineLevel="0" collapsed="false">
      <c r="A12" s="2" t="s">
        <v>13</v>
      </c>
      <c r="B12" s="2" t="s">
        <v>14</v>
      </c>
    </row>
    <row r="13" customFormat="false" ht="15" hidden="false" customHeight="false" outlineLevel="0" collapsed="false">
      <c r="A13" s="2" t="s">
        <v>15</v>
      </c>
      <c r="B13" s="2" t="s">
        <v>16</v>
      </c>
    </row>
    <row r="14" customFormat="false" ht="15" hidden="false" customHeight="false" outlineLevel="0" collapsed="false">
      <c r="A14" s="2" t="s">
        <v>17</v>
      </c>
      <c r="B14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2"/>
    <col collapsed="false" customWidth="true" hidden="false" outlineLevel="0" max="4" min="4" style="0" width="48"/>
  </cols>
  <sheetData>
    <row r="1" customFormat="false" ht="15" hidden="false" customHeight="false" outlineLevel="0" collapsed="false">
      <c r="A1" s="1" t="s">
        <v>19</v>
      </c>
      <c r="B1" s="2"/>
      <c r="C1" s="2"/>
      <c r="D1" s="2"/>
    </row>
    <row r="2" customFormat="false" ht="15" hidden="false" customHeight="false" outlineLevel="0" collapsed="false">
      <c r="A2" s="4" t="s">
        <v>20</v>
      </c>
      <c r="B2" s="4" t="s">
        <v>21</v>
      </c>
      <c r="C2" s="4" t="s">
        <v>22</v>
      </c>
      <c r="D2" s="4" t="s">
        <v>23</v>
      </c>
    </row>
    <row r="3" customFormat="false" ht="15" hidden="false" customHeight="false" outlineLevel="0" collapsed="false">
      <c r="A3" s="2" t="s">
        <v>24</v>
      </c>
      <c r="B3" s="2" t="n">
        <v>10</v>
      </c>
      <c r="C3" s="2" t="s">
        <v>25</v>
      </c>
      <c r="D3" s="2" t="s">
        <v>26</v>
      </c>
    </row>
    <row r="4" customFormat="false" ht="15" hidden="false" customHeight="false" outlineLevel="0" collapsed="false">
      <c r="A4" s="2" t="s">
        <v>27</v>
      </c>
      <c r="B4" s="2" t="n">
        <v>5</v>
      </c>
      <c r="C4" s="2" t="s">
        <v>28</v>
      </c>
      <c r="D4" s="2" t="s">
        <v>29</v>
      </c>
    </row>
    <row r="5" customFormat="false" ht="15" hidden="false" customHeight="false" outlineLevel="0" collapsed="false">
      <c r="A5" s="2" t="s">
        <v>30</v>
      </c>
      <c r="B5" s="2" t="n">
        <v>20</v>
      </c>
      <c r="C5" s="2" t="s">
        <v>31</v>
      </c>
      <c r="D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</row>
    <row r="9" customFormat="false" ht="15" hidden="false" customHeight="false" outlineLevel="0" collapsed="false">
      <c r="A9" s="2"/>
      <c r="B9" s="2"/>
      <c r="C9" s="2"/>
      <c r="D9" s="2"/>
    </row>
    <row r="10" customFormat="false" ht="15" hidden="false" customHeight="false" outlineLevel="0" collapsed="false">
      <c r="A10" s="3" t="s">
        <v>45</v>
      </c>
      <c r="B10" s="2"/>
      <c r="C10" s="2"/>
      <c r="D10" s="2"/>
    </row>
    <row r="11" customFormat="false" ht="15" hidden="false" customHeight="false" outlineLevel="0" collapsed="false">
      <c r="A11" s="2" t="s">
        <v>46</v>
      </c>
      <c r="B11" s="5" t="n">
        <v>18</v>
      </c>
      <c r="C11" s="2"/>
      <c r="D11" s="2"/>
    </row>
    <row r="12" customFormat="false" ht="15" hidden="false" customHeight="false" outlineLevel="0" collapsed="false">
      <c r="A12" s="2" t="s">
        <v>47</v>
      </c>
      <c r="B12" s="5" t="n">
        <v>6</v>
      </c>
      <c r="C12" s="2"/>
      <c r="D12" s="2"/>
    </row>
    <row r="13" customFormat="false" ht="15" hidden="false" customHeight="false" outlineLevel="0" collapsed="false">
      <c r="A13" s="2" t="s">
        <v>48</v>
      </c>
      <c r="B13" s="5" t="n">
        <v>3</v>
      </c>
      <c r="C13" s="2"/>
      <c r="D13" s="2"/>
    </row>
    <row r="14" customFormat="false" ht="15" hidden="false" customHeight="false" outlineLevel="0" collapsed="false">
      <c r="A14" s="2" t="s">
        <v>49</v>
      </c>
      <c r="B14" s="5" t="n">
        <v>1</v>
      </c>
      <c r="C14" s="2"/>
      <c r="D14" s="2"/>
    </row>
    <row r="15" customFormat="false" ht="15" hidden="false" customHeight="false" outlineLevel="0" collapsed="false">
      <c r="A15" s="3" t="s">
        <v>50</v>
      </c>
      <c r="B15" s="2" t="n">
        <f aca="false">B11*10+B12*5+B13*20+B14*30</f>
        <v>300</v>
      </c>
      <c r="C15" s="2"/>
      <c r="D15" s="2"/>
    </row>
    <row r="16" customFormat="false" ht="15" hidden="false" customHeight="false" outlineLevel="0" collapsed="false">
      <c r="A16" s="2"/>
      <c r="B16" s="2"/>
      <c r="C16" s="2"/>
      <c r="D16" s="2"/>
    </row>
    <row r="17" customFormat="false" ht="15" hidden="false" customHeight="false" outlineLevel="0" collapsed="false">
      <c r="A17" s="3" t="s">
        <v>51</v>
      </c>
      <c r="B17" s="2"/>
      <c r="C17" s="2"/>
      <c r="D17" s="2"/>
    </row>
    <row r="18" customFormat="false" ht="15" hidden="false" customHeight="false" outlineLevel="0" collapsed="false">
      <c r="A18" s="2" t="s">
        <v>52</v>
      </c>
      <c r="B18" s="5" t="n">
        <v>2</v>
      </c>
      <c r="C18" s="2"/>
      <c r="D18" s="2"/>
    </row>
    <row r="19" customFormat="false" ht="15" hidden="false" customHeight="false" outlineLevel="0" collapsed="false">
      <c r="A19" s="2" t="s">
        <v>53</v>
      </c>
      <c r="B19" s="5" t="n">
        <v>10</v>
      </c>
      <c r="C19" s="2"/>
      <c r="D19" s="2"/>
    </row>
    <row r="20" customFormat="false" ht="15" hidden="false" customHeight="false" outlineLevel="0" collapsed="false">
      <c r="A20" s="2" t="s">
        <v>54</v>
      </c>
      <c r="B20" s="5" t="n">
        <v>1</v>
      </c>
      <c r="C20" s="2"/>
      <c r="D20" s="2"/>
    </row>
    <row r="21" customFormat="false" ht="15" hidden="false" customHeight="false" outlineLevel="0" collapsed="false">
      <c r="A21" s="3" t="s">
        <v>55</v>
      </c>
      <c r="B21" s="2" t="n">
        <f aca="false">B18*10+B19+B20*20</f>
        <v>50</v>
      </c>
      <c r="C21" s="2"/>
      <c r="D21" s="2"/>
    </row>
    <row r="22" customFormat="false" ht="15" hidden="false" customHeight="false" outlineLevel="0" collapsed="false">
      <c r="A22" s="3" t="s">
        <v>56</v>
      </c>
      <c r="B22" s="6" t="n">
        <f aca="false">B15-B21</f>
        <v>250</v>
      </c>
      <c r="C22" s="2"/>
      <c r="D2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00"/>
  </cols>
  <sheetData>
    <row r="1" customFormat="false" ht="15" hidden="false" customHeight="false" outlineLevel="0" collapsed="false">
      <c r="A1" s="1" t="s">
        <v>57</v>
      </c>
      <c r="B1" s="2"/>
      <c r="C1" s="2"/>
      <c r="D1" s="2"/>
    </row>
    <row r="2" customFormat="false" ht="15" hidden="false" customHeight="false" outlineLevel="0" collapsed="false">
      <c r="A2" s="4" t="s">
        <v>58</v>
      </c>
      <c r="B2" s="4" t="s">
        <v>21</v>
      </c>
      <c r="C2" s="4" t="s">
        <v>59</v>
      </c>
      <c r="D2" s="4" t="s">
        <v>23</v>
      </c>
    </row>
    <row r="3" customFormat="false" ht="15" hidden="false" customHeight="false" outlineLevel="0" collapsed="false">
      <c r="A3" s="2" t="s">
        <v>60</v>
      </c>
      <c r="B3" s="2" t="n">
        <v>10</v>
      </c>
      <c r="C3" s="2" t="s">
        <v>61</v>
      </c>
      <c r="D3" s="2" t="s">
        <v>62</v>
      </c>
    </row>
    <row r="4" customFormat="false" ht="15" hidden="false" customHeight="false" outlineLevel="0" collapsed="false">
      <c r="A4" s="2" t="s">
        <v>63</v>
      </c>
      <c r="B4" s="2" t="s">
        <v>64</v>
      </c>
      <c r="C4" s="2" t="s">
        <v>61</v>
      </c>
      <c r="D4" s="2" t="s">
        <v>65</v>
      </c>
    </row>
    <row r="5" customFormat="false" ht="15" hidden="false" customHeight="false" outlineLevel="0" collapsed="false">
      <c r="A5" s="2" t="s">
        <v>66</v>
      </c>
      <c r="B5" s="2" t="s">
        <v>67</v>
      </c>
      <c r="C5" s="2" t="s">
        <v>61</v>
      </c>
      <c r="D5" s="2" t="s">
        <v>68</v>
      </c>
    </row>
    <row r="6" customFormat="false" ht="15" hidden="false" customHeight="false" outlineLevel="0" collapsed="false">
      <c r="A6" s="2" t="s">
        <v>69</v>
      </c>
      <c r="B6" s="2" t="s">
        <v>70</v>
      </c>
      <c r="C6" s="2" t="s">
        <v>61</v>
      </c>
      <c r="D6" s="2" t="s">
        <v>71</v>
      </c>
    </row>
    <row r="7" customFormat="false" ht="15" hidden="false" customHeight="false" outlineLevel="0" collapsed="false">
      <c r="A7" s="2" t="s">
        <v>72</v>
      </c>
      <c r="B7" s="2" t="s">
        <v>73</v>
      </c>
      <c r="C7" s="2" t="s">
        <v>61</v>
      </c>
      <c r="D7" s="2" t="s">
        <v>74</v>
      </c>
    </row>
    <row r="8" customFormat="false" ht="15" hidden="false" customHeight="false" outlineLevel="0" collapsed="false">
      <c r="A8" s="2" t="s">
        <v>75</v>
      </c>
      <c r="B8" s="2" t="s">
        <v>76</v>
      </c>
      <c r="C8" s="2" t="s">
        <v>77</v>
      </c>
      <c r="D8" s="2" t="s">
        <v>78</v>
      </c>
    </row>
    <row r="9" customFormat="false" ht="15" hidden="false" customHeight="false" outlineLevel="0" collapsed="false">
      <c r="A9" s="2" t="s">
        <v>79</v>
      </c>
      <c r="B9" s="2" t="s">
        <v>80</v>
      </c>
      <c r="C9" s="2" t="s">
        <v>77</v>
      </c>
      <c r="D9" s="2" t="s">
        <v>81</v>
      </c>
    </row>
    <row r="10" customFormat="false" ht="15" hidden="false" customHeight="false" outlineLevel="0" collapsed="false">
      <c r="A10" s="2" t="s">
        <v>82</v>
      </c>
      <c r="B10" s="2" t="s">
        <v>83</v>
      </c>
      <c r="C10" s="2" t="s">
        <v>77</v>
      </c>
      <c r="D10" s="2" t="s">
        <v>84</v>
      </c>
    </row>
    <row r="11" customFormat="false" ht="15" hidden="false" customHeight="false" outlineLevel="0" collapsed="false">
      <c r="A11" s="2"/>
      <c r="B11" s="2"/>
      <c r="C11" s="2"/>
      <c r="D11" s="2"/>
    </row>
    <row r="12" customFormat="false" ht="15" hidden="false" customHeight="false" outlineLevel="0" collapsed="false">
      <c r="A12" s="2" t="s">
        <v>85</v>
      </c>
      <c r="B12" s="2"/>
      <c r="C12" s="2"/>
      <c r="D1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" t="s">
        <v>86</v>
      </c>
      <c r="B1" s="3" t="s">
        <v>87</v>
      </c>
      <c r="C1" s="3" t="s">
        <v>88</v>
      </c>
    </row>
    <row r="2" customFormat="false" ht="15" hidden="false" customHeight="false" outlineLevel="0" collapsed="false">
      <c r="A2" s="2" t="n">
        <v>1</v>
      </c>
      <c r="B2" s="2" t="n">
        <v>1</v>
      </c>
      <c r="C2" s="2" t="n">
        <v>1</v>
      </c>
    </row>
    <row r="3" customFormat="false" ht="15" hidden="false" customHeight="false" outlineLevel="0" collapsed="false">
      <c r="A3" s="2" t="n">
        <v>2</v>
      </c>
      <c r="B3" s="2" t="n">
        <v>1</v>
      </c>
      <c r="C3" s="2" t="n">
        <v>1</v>
      </c>
    </row>
    <row r="4" customFormat="false" ht="15" hidden="false" customHeight="false" outlineLevel="0" collapsed="false">
      <c r="A4" s="2" t="n">
        <v>3</v>
      </c>
      <c r="B4" s="2" t="n">
        <v>2</v>
      </c>
      <c r="C4" s="2" t="n">
        <v>1</v>
      </c>
    </row>
    <row r="5" customFormat="false" ht="15" hidden="false" customHeight="false" outlineLevel="0" collapsed="false">
      <c r="A5" s="2" t="n">
        <v>4</v>
      </c>
      <c r="B5" s="2" t="n">
        <v>2</v>
      </c>
      <c r="C5" s="2" t="n">
        <v>1</v>
      </c>
    </row>
    <row r="6" customFormat="false" ht="15" hidden="false" customHeight="false" outlineLevel="0" collapsed="false">
      <c r="A6" s="2" t="n">
        <v>5</v>
      </c>
      <c r="B6" s="2" t="n">
        <v>3</v>
      </c>
      <c r="C6" s="2" t="n">
        <v>1</v>
      </c>
    </row>
    <row r="7" customFormat="false" ht="15" hidden="false" customHeight="false" outlineLevel="0" collapsed="false">
      <c r="A7" s="2" t="n">
        <v>6</v>
      </c>
      <c r="B7" s="2" t="n">
        <v>3</v>
      </c>
      <c r="C7" s="2" t="n">
        <v>1</v>
      </c>
    </row>
    <row r="8" customFormat="false" ht="15" hidden="false" customHeight="false" outlineLevel="0" collapsed="false">
      <c r="A8" s="2" t="n">
        <v>7</v>
      </c>
      <c r="B8" s="2" t="n">
        <v>4</v>
      </c>
      <c r="C8" s="2" t="n">
        <v>1</v>
      </c>
    </row>
    <row r="9" customFormat="false" ht="15" hidden="false" customHeight="false" outlineLevel="0" collapsed="false">
      <c r="A9" s="2" t="n">
        <v>8</v>
      </c>
      <c r="B9" s="2" t="n">
        <v>4</v>
      </c>
      <c r="C9" s="2" t="n">
        <v>1</v>
      </c>
    </row>
    <row r="10" customFormat="false" ht="15" hidden="false" customHeight="false" outlineLevel="0" collapsed="false">
      <c r="A10" s="2" t="n">
        <v>9</v>
      </c>
      <c r="B10" s="2" t="n">
        <v>5</v>
      </c>
      <c r="C10" s="2" t="n">
        <v>1</v>
      </c>
    </row>
    <row r="11" customFormat="false" ht="15" hidden="false" customHeight="false" outlineLevel="0" collapsed="false">
      <c r="A11" s="2" t="n">
        <v>10</v>
      </c>
      <c r="B11" s="2" t="n">
        <v>5</v>
      </c>
      <c r="C11" s="2" t="n">
        <v>1</v>
      </c>
    </row>
    <row r="12" customFormat="false" ht="15" hidden="false" customHeight="false" outlineLevel="0" collapsed="false">
      <c r="A12" s="2" t="n">
        <v>11</v>
      </c>
      <c r="B12" s="2" t="n">
        <v>6</v>
      </c>
      <c r="C12" s="2" t="n">
        <v>1</v>
      </c>
    </row>
    <row r="13" customFormat="false" ht="15" hidden="false" customHeight="false" outlineLevel="0" collapsed="false">
      <c r="A13" s="2" t="n">
        <v>12</v>
      </c>
      <c r="B13" s="2" t="n">
        <v>6</v>
      </c>
      <c r="C13" s="2" t="n">
        <v>1</v>
      </c>
    </row>
    <row r="14" customFormat="false" ht="15" hidden="false" customHeight="false" outlineLevel="0" collapsed="false">
      <c r="A14" s="2" t="n">
        <v>13</v>
      </c>
      <c r="B14" s="2" t="n">
        <v>7</v>
      </c>
      <c r="C14" s="2" t="n">
        <v>1</v>
      </c>
    </row>
    <row r="15" customFormat="false" ht="15" hidden="false" customHeight="false" outlineLevel="0" collapsed="false">
      <c r="A15" s="2" t="n">
        <v>14</v>
      </c>
      <c r="B15" s="2" t="n">
        <v>7</v>
      </c>
      <c r="C15" s="2" t="n">
        <v>1</v>
      </c>
    </row>
    <row r="16" customFormat="false" ht="15" hidden="false" customHeight="false" outlineLevel="0" collapsed="false">
      <c r="A16" s="2" t="n">
        <v>15</v>
      </c>
      <c r="B16" s="2" t="n">
        <v>8</v>
      </c>
      <c r="C16" s="2" t="n">
        <v>1</v>
      </c>
    </row>
    <row r="17" customFormat="false" ht="15" hidden="false" customHeight="false" outlineLevel="0" collapsed="false">
      <c r="A17" s="2" t="n">
        <v>16</v>
      </c>
      <c r="B17" s="2" t="n">
        <v>8</v>
      </c>
      <c r="C17" s="2" t="n">
        <v>1</v>
      </c>
    </row>
    <row r="18" customFormat="false" ht="15" hidden="false" customHeight="false" outlineLevel="0" collapsed="false">
      <c r="A18" s="2" t="n">
        <v>17</v>
      </c>
      <c r="B18" s="2" t="n">
        <v>9</v>
      </c>
      <c r="C18" s="2" t="n">
        <v>1</v>
      </c>
    </row>
    <row r="19" customFormat="false" ht="15" hidden="false" customHeight="false" outlineLevel="0" collapsed="false">
      <c r="A19" s="2" t="n">
        <v>18</v>
      </c>
      <c r="B19" s="2" t="n">
        <v>9</v>
      </c>
      <c r="C19" s="2" t="n">
        <v>1</v>
      </c>
    </row>
    <row r="20" customFormat="false" ht="15" hidden="false" customHeight="false" outlineLevel="0" collapsed="false">
      <c r="A20" s="2" t="n">
        <v>19</v>
      </c>
      <c r="B20" s="2" t="n">
        <v>10</v>
      </c>
      <c r="C20" s="2" t="n">
        <v>1</v>
      </c>
    </row>
    <row r="21" customFormat="false" ht="15" hidden="false" customHeight="false" outlineLevel="0" collapsed="false">
      <c r="A21" s="2" t="n">
        <v>20</v>
      </c>
      <c r="B21" s="2" t="n">
        <v>10</v>
      </c>
      <c r="C21" s="2" t="n">
        <v>1</v>
      </c>
    </row>
    <row r="22" customFormat="false" ht="15" hidden="false" customHeight="false" outlineLevel="0" collapsed="false">
      <c r="A22" s="2" t="n">
        <v>21</v>
      </c>
      <c r="B22" s="2" t="n">
        <v>11</v>
      </c>
      <c r="C22" s="2" t="n">
        <v>1</v>
      </c>
    </row>
    <row r="23" customFormat="false" ht="15" hidden="false" customHeight="false" outlineLevel="0" collapsed="false">
      <c r="A23" s="2" t="n">
        <v>22</v>
      </c>
      <c r="B23" s="2" t="n">
        <v>11</v>
      </c>
      <c r="C23" s="2" t="n">
        <v>1</v>
      </c>
    </row>
    <row r="24" customFormat="false" ht="15" hidden="false" customHeight="false" outlineLevel="0" collapsed="false">
      <c r="A24" s="2" t="n">
        <v>23</v>
      </c>
      <c r="B24" s="2" t="n">
        <v>12</v>
      </c>
      <c r="C24" s="2" t="n">
        <v>1</v>
      </c>
    </row>
    <row r="25" customFormat="false" ht="15" hidden="false" customHeight="false" outlineLevel="0" collapsed="false">
      <c r="A25" s="2" t="n">
        <v>24</v>
      </c>
      <c r="B25" s="2" t="n">
        <v>12</v>
      </c>
      <c r="C25" s="2" t="n">
        <v>1</v>
      </c>
    </row>
    <row r="26" customFormat="false" ht="15" hidden="false" customHeight="false" outlineLevel="0" collapsed="false">
      <c r="A26" s="2" t="n">
        <v>25</v>
      </c>
      <c r="B26" s="2" t="n">
        <v>13</v>
      </c>
      <c r="C26" s="2" t="n">
        <v>1</v>
      </c>
    </row>
    <row r="27" customFormat="false" ht="15" hidden="false" customHeight="false" outlineLevel="0" collapsed="false">
      <c r="A27" s="2" t="n">
        <v>26</v>
      </c>
      <c r="B27" s="2" t="n">
        <v>13</v>
      </c>
      <c r="C27" s="2" t="n">
        <v>1</v>
      </c>
    </row>
    <row r="28" customFormat="false" ht="15" hidden="false" customHeight="false" outlineLevel="0" collapsed="false">
      <c r="A28" s="2" t="n">
        <v>27</v>
      </c>
      <c r="B28" s="2" t="n">
        <v>14</v>
      </c>
      <c r="C28" s="2" t="n">
        <v>1</v>
      </c>
    </row>
    <row r="29" customFormat="false" ht="15" hidden="false" customHeight="false" outlineLevel="0" collapsed="false">
      <c r="A29" s="2" t="n">
        <v>28</v>
      </c>
      <c r="B29" s="2" t="n">
        <v>14</v>
      </c>
      <c r="C29" s="2" t="n">
        <v>1</v>
      </c>
    </row>
    <row r="30" customFormat="false" ht="15" hidden="false" customHeight="false" outlineLevel="0" collapsed="false">
      <c r="A30" s="2" t="n">
        <v>29</v>
      </c>
      <c r="B30" s="2" t="n">
        <v>15</v>
      </c>
      <c r="C30" s="2" t="n">
        <v>1</v>
      </c>
    </row>
    <row r="31" customFormat="false" ht="15" hidden="false" customHeight="false" outlineLevel="0" collapsed="false">
      <c r="A31" s="2" t="n">
        <v>30</v>
      </c>
      <c r="B31" s="2" t="n">
        <v>15</v>
      </c>
      <c r="C31" s="2" t="n">
        <v>1</v>
      </c>
    </row>
    <row r="32" customFormat="false" ht="15" hidden="false" customHeight="false" outlineLevel="0" collapsed="false">
      <c r="A32" s="2" t="n">
        <v>31</v>
      </c>
      <c r="B32" s="2" t="n">
        <v>16</v>
      </c>
      <c r="C32" s="2" t="n">
        <v>1</v>
      </c>
    </row>
    <row r="33" customFormat="false" ht="15" hidden="false" customHeight="false" outlineLevel="0" collapsed="false">
      <c r="A33" s="2" t="n">
        <v>32</v>
      </c>
      <c r="B33" s="2" t="n">
        <v>16</v>
      </c>
      <c r="C33" s="2" t="n">
        <v>1</v>
      </c>
    </row>
    <row r="34" customFormat="false" ht="15" hidden="false" customHeight="false" outlineLevel="0" collapsed="false">
      <c r="A34" s="2" t="n">
        <v>33</v>
      </c>
      <c r="B34" s="2" t="n">
        <v>17</v>
      </c>
      <c r="C34" s="2" t="n">
        <v>1</v>
      </c>
    </row>
    <row r="35" customFormat="false" ht="15" hidden="false" customHeight="false" outlineLevel="0" collapsed="false">
      <c r="A35" s="2" t="n">
        <v>34</v>
      </c>
      <c r="B35" s="2" t="n">
        <v>17</v>
      </c>
      <c r="C35" s="2" t="n">
        <v>1</v>
      </c>
    </row>
    <row r="36" customFormat="false" ht="15" hidden="false" customHeight="false" outlineLevel="0" collapsed="false">
      <c r="A36" s="2" t="n">
        <v>35</v>
      </c>
      <c r="B36" s="2" t="n">
        <v>18</v>
      </c>
      <c r="C36" s="2" t="n">
        <v>1</v>
      </c>
    </row>
    <row r="37" customFormat="false" ht="15" hidden="false" customHeight="false" outlineLevel="0" collapsed="false">
      <c r="A37" s="2" t="n">
        <v>36</v>
      </c>
      <c r="B37" s="2" t="n">
        <v>18</v>
      </c>
      <c r="C37" s="2" t="n">
        <v>1</v>
      </c>
    </row>
    <row r="38" customFormat="false" ht="15" hidden="false" customHeight="false" outlineLevel="0" collapsed="false">
      <c r="A38" s="2" t="n">
        <v>37</v>
      </c>
      <c r="B38" s="2" t="n">
        <v>19</v>
      </c>
      <c r="C38" s="2" t="n">
        <v>1</v>
      </c>
    </row>
    <row r="39" customFormat="false" ht="15" hidden="false" customHeight="false" outlineLevel="0" collapsed="false">
      <c r="A39" s="2" t="n">
        <v>38</v>
      </c>
      <c r="B39" s="2" t="n">
        <v>19</v>
      </c>
      <c r="C39" s="2" t="n">
        <v>1</v>
      </c>
    </row>
    <row r="40" customFormat="false" ht="15" hidden="false" customHeight="false" outlineLevel="0" collapsed="false">
      <c r="A40" s="2" t="n">
        <v>39</v>
      </c>
      <c r="B40" s="2" t="n">
        <v>20</v>
      </c>
      <c r="C40" s="2" t="n">
        <v>1</v>
      </c>
    </row>
    <row r="41" customFormat="false" ht="15" hidden="false" customHeight="false" outlineLevel="0" collapsed="false">
      <c r="A41" s="2" t="n">
        <v>40</v>
      </c>
      <c r="B41" s="2" t="n">
        <v>20</v>
      </c>
      <c r="C41" s="2" t="n">
        <v>1</v>
      </c>
    </row>
    <row r="42" customFormat="false" ht="15" hidden="false" customHeight="false" outlineLevel="0" collapsed="false">
      <c r="A42" s="2" t="n">
        <v>41</v>
      </c>
      <c r="B42" s="2" t="n">
        <v>21</v>
      </c>
      <c r="C42" s="2" t="n">
        <v>1</v>
      </c>
    </row>
    <row r="43" customFormat="false" ht="15" hidden="false" customHeight="false" outlineLevel="0" collapsed="false">
      <c r="A43" s="2" t="n">
        <v>42</v>
      </c>
      <c r="B43" s="2" t="n">
        <v>21</v>
      </c>
      <c r="C43" s="2" t="n">
        <v>1</v>
      </c>
    </row>
    <row r="44" customFormat="false" ht="15" hidden="false" customHeight="false" outlineLevel="0" collapsed="false">
      <c r="A44" s="2" t="n">
        <v>43</v>
      </c>
      <c r="B44" s="2" t="n">
        <v>22</v>
      </c>
      <c r="C44" s="2" t="n">
        <v>1</v>
      </c>
    </row>
    <row r="45" customFormat="false" ht="15" hidden="false" customHeight="false" outlineLevel="0" collapsed="false">
      <c r="A45" s="2" t="n">
        <v>44</v>
      </c>
      <c r="B45" s="2" t="n">
        <v>22</v>
      </c>
      <c r="C45" s="2" t="n">
        <v>1</v>
      </c>
    </row>
    <row r="46" customFormat="false" ht="15" hidden="false" customHeight="false" outlineLevel="0" collapsed="false">
      <c r="A46" s="2" t="n">
        <v>45</v>
      </c>
      <c r="B46" s="2" t="n">
        <v>23</v>
      </c>
      <c r="C46" s="2" t="n">
        <v>1</v>
      </c>
    </row>
    <row r="47" customFormat="false" ht="15" hidden="false" customHeight="false" outlineLevel="0" collapsed="false">
      <c r="A47" s="2" t="n">
        <v>46</v>
      </c>
      <c r="B47" s="2" t="n">
        <v>23</v>
      </c>
      <c r="C47" s="2" t="n">
        <v>1</v>
      </c>
    </row>
    <row r="48" customFormat="false" ht="15" hidden="false" customHeight="false" outlineLevel="0" collapsed="false">
      <c r="A48" s="2" t="n">
        <v>47</v>
      </c>
      <c r="B48" s="2" t="n">
        <v>24</v>
      </c>
      <c r="C48" s="2" t="n">
        <v>1</v>
      </c>
    </row>
    <row r="49" customFormat="false" ht="15" hidden="false" customHeight="false" outlineLevel="0" collapsed="false">
      <c r="A49" s="2" t="n">
        <v>48</v>
      </c>
      <c r="B49" s="2" t="n">
        <v>24</v>
      </c>
      <c r="C49" s="2" t="n">
        <v>1</v>
      </c>
    </row>
    <row r="50" customFormat="false" ht="15" hidden="false" customHeight="false" outlineLevel="0" collapsed="false">
      <c r="A50" s="2" t="n">
        <v>49</v>
      </c>
      <c r="B50" s="2" t="n">
        <v>25</v>
      </c>
      <c r="C50" s="2" t="n">
        <v>1</v>
      </c>
    </row>
    <row r="51" customFormat="false" ht="15" hidden="false" customHeight="false" outlineLevel="0" collapsed="false">
      <c r="A51" s="2" t="n">
        <v>50</v>
      </c>
      <c r="B51" s="2" t="n">
        <v>25</v>
      </c>
      <c r="C51" s="2" t="n">
        <v>1</v>
      </c>
    </row>
    <row r="52" customFormat="false" ht="15" hidden="false" customHeight="false" outlineLevel="0" collapsed="false">
      <c r="A52" s="2" t="n">
        <v>51</v>
      </c>
      <c r="B52" s="2" t="n">
        <v>26</v>
      </c>
      <c r="C52" s="2" t="n">
        <v>1</v>
      </c>
    </row>
    <row r="53" customFormat="false" ht="15" hidden="false" customHeight="false" outlineLevel="0" collapsed="false">
      <c r="A53" s="2" t="n">
        <v>52</v>
      </c>
      <c r="B53" s="2" t="n">
        <v>26</v>
      </c>
      <c r="C53" s="2" t="n">
        <v>1</v>
      </c>
    </row>
    <row r="54" customFormat="false" ht="15" hidden="false" customHeight="false" outlineLevel="0" collapsed="false">
      <c r="A54" s="2" t="n">
        <v>53</v>
      </c>
      <c r="B54" s="2" t="n">
        <v>27</v>
      </c>
      <c r="C54" s="2" t="n">
        <v>1</v>
      </c>
    </row>
    <row r="55" customFormat="false" ht="15" hidden="false" customHeight="false" outlineLevel="0" collapsed="false">
      <c r="A55" s="2" t="n">
        <v>54</v>
      </c>
      <c r="B55" s="2" t="n">
        <v>27</v>
      </c>
      <c r="C55" s="2" t="n">
        <v>1</v>
      </c>
    </row>
    <row r="56" customFormat="false" ht="15" hidden="false" customHeight="false" outlineLevel="0" collapsed="false">
      <c r="A56" s="2" t="n">
        <v>55</v>
      </c>
      <c r="B56" s="2" t="n">
        <v>28</v>
      </c>
      <c r="C56" s="2" t="n">
        <v>1</v>
      </c>
    </row>
    <row r="57" customFormat="false" ht="15" hidden="false" customHeight="false" outlineLevel="0" collapsed="false">
      <c r="A57" s="2" t="n">
        <v>56</v>
      </c>
      <c r="B57" s="2" t="n">
        <v>28</v>
      </c>
      <c r="C57" s="2" t="n">
        <v>1</v>
      </c>
    </row>
    <row r="58" customFormat="false" ht="15" hidden="false" customHeight="false" outlineLevel="0" collapsed="false">
      <c r="A58" s="2" t="n">
        <v>57</v>
      </c>
      <c r="B58" s="2" t="n">
        <v>29</v>
      </c>
      <c r="C58" s="2" t="n">
        <v>1</v>
      </c>
    </row>
    <row r="59" customFormat="false" ht="15" hidden="false" customHeight="false" outlineLevel="0" collapsed="false">
      <c r="A59" s="2" t="n">
        <v>58</v>
      </c>
      <c r="B59" s="2" t="n">
        <v>29</v>
      </c>
      <c r="C59" s="2" t="n">
        <v>1</v>
      </c>
    </row>
    <row r="60" customFormat="false" ht="15" hidden="false" customHeight="false" outlineLevel="0" collapsed="false">
      <c r="A60" s="2" t="n">
        <v>59</v>
      </c>
      <c r="B60" s="2" t="n">
        <v>30</v>
      </c>
      <c r="C60" s="2" t="n">
        <v>1</v>
      </c>
    </row>
    <row r="61" customFormat="false" ht="15" hidden="false" customHeight="false" outlineLevel="0" collapsed="false">
      <c r="A61" s="2" t="n">
        <v>60</v>
      </c>
      <c r="B61" s="2" t="n">
        <v>30</v>
      </c>
      <c r="C61" s="2" t="n">
        <v>1</v>
      </c>
    </row>
    <row r="62" customFormat="false" ht="15" hidden="false" customHeight="false" outlineLevel="0" collapsed="false">
      <c r="A62" s="2" t="n">
        <v>61</v>
      </c>
      <c r="B62" s="2" t="n">
        <v>31</v>
      </c>
      <c r="C62" s="2" t="n">
        <v>1</v>
      </c>
    </row>
    <row r="63" customFormat="false" ht="15" hidden="false" customHeight="false" outlineLevel="0" collapsed="false">
      <c r="A63" s="2" t="n">
        <v>62</v>
      </c>
      <c r="B63" s="2" t="n">
        <v>31</v>
      </c>
      <c r="C63" s="2" t="n">
        <v>1</v>
      </c>
    </row>
    <row r="64" customFormat="false" ht="15" hidden="false" customHeight="false" outlineLevel="0" collapsed="false">
      <c r="A64" s="2" t="n">
        <v>63</v>
      </c>
      <c r="B64" s="2" t="n">
        <v>32</v>
      </c>
      <c r="C64" s="2" t="n">
        <v>1</v>
      </c>
    </row>
    <row r="65" customFormat="false" ht="15" hidden="false" customHeight="false" outlineLevel="0" collapsed="false">
      <c r="A65" s="2" t="n">
        <v>64</v>
      </c>
      <c r="B65" s="2" t="n">
        <v>32</v>
      </c>
      <c r="C65" s="2" t="n">
        <v>1</v>
      </c>
    </row>
    <row r="66" customFormat="false" ht="15" hidden="false" customHeight="false" outlineLevel="0" collapsed="false">
      <c r="A66" s="2" t="n">
        <v>65</v>
      </c>
      <c r="B66" s="2" t="n">
        <v>33</v>
      </c>
      <c r="C66" s="2" t="n">
        <v>1</v>
      </c>
    </row>
    <row r="67" customFormat="false" ht="15" hidden="false" customHeight="false" outlineLevel="0" collapsed="false">
      <c r="A67" s="2" t="n">
        <v>66</v>
      </c>
      <c r="B67" s="2" t="n">
        <v>33</v>
      </c>
      <c r="C67" s="2" t="n">
        <v>1</v>
      </c>
    </row>
    <row r="68" customFormat="false" ht="15" hidden="false" customHeight="false" outlineLevel="0" collapsed="false">
      <c r="A68" s="2" t="n">
        <v>67</v>
      </c>
      <c r="B68" s="2" t="n">
        <v>34</v>
      </c>
      <c r="C68" s="2" t="n">
        <v>1</v>
      </c>
    </row>
    <row r="69" customFormat="false" ht="15" hidden="false" customHeight="false" outlineLevel="0" collapsed="false">
      <c r="A69" s="2" t="n">
        <v>68</v>
      </c>
      <c r="B69" s="2" t="n">
        <v>34</v>
      </c>
      <c r="C69" s="2" t="n">
        <v>1</v>
      </c>
    </row>
    <row r="70" customFormat="false" ht="15" hidden="false" customHeight="false" outlineLevel="0" collapsed="false">
      <c r="A70" s="2" t="n">
        <v>69</v>
      </c>
      <c r="B70" s="2" t="n">
        <v>35</v>
      </c>
      <c r="C70" s="2" t="n">
        <v>1</v>
      </c>
    </row>
    <row r="71" customFormat="false" ht="15" hidden="false" customHeight="false" outlineLevel="0" collapsed="false">
      <c r="A71" s="2" t="n">
        <v>70</v>
      </c>
      <c r="B71" s="2" t="n">
        <v>35</v>
      </c>
      <c r="C71" s="2" t="n">
        <v>1</v>
      </c>
    </row>
    <row r="72" customFormat="false" ht="15" hidden="false" customHeight="false" outlineLevel="0" collapsed="false">
      <c r="A72" s="2" t="n">
        <v>71</v>
      </c>
      <c r="B72" s="2" t="n">
        <v>36</v>
      </c>
      <c r="C72" s="2" t="n">
        <v>1</v>
      </c>
    </row>
    <row r="73" customFormat="false" ht="15" hidden="false" customHeight="false" outlineLevel="0" collapsed="false">
      <c r="A73" s="2" t="n">
        <v>72</v>
      </c>
      <c r="B73" s="2" t="n">
        <v>36</v>
      </c>
      <c r="C73" s="2" t="n">
        <v>1</v>
      </c>
    </row>
    <row r="74" customFormat="false" ht="15" hidden="false" customHeight="false" outlineLevel="0" collapsed="false">
      <c r="A74" s="2" t="n">
        <v>73</v>
      </c>
      <c r="B74" s="2" t="n">
        <v>37</v>
      </c>
      <c r="C74" s="2" t="n">
        <v>1</v>
      </c>
    </row>
    <row r="75" customFormat="false" ht="15" hidden="false" customHeight="false" outlineLevel="0" collapsed="false">
      <c r="A75" s="2" t="n">
        <v>74</v>
      </c>
      <c r="B75" s="2" t="n">
        <v>37</v>
      </c>
      <c r="C75" s="2" t="n">
        <v>1</v>
      </c>
    </row>
    <row r="76" customFormat="false" ht="15" hidden="false" customHeight="false" outlineLevel="0" collapsed="false">
      <c r="A76" s="2" t="n">
        <v>75</v>
      </c>
      <c r="B76" s="2" t="n">
        <v>38</v>
      </c>
      <c r="C76" s="2" t="n">
        <v>1</v>
      </c>
    </row>
    <row r="77" customFormat="false" ht="15" hidden="false" customHeight="false" outlineLevel="0" collapsed="false">
      <c r="A77" s="2" t="n">
        <v>76</v>
      </c>
      <c r="B77" s="2" t="n">
        <v>38</v>
      </c>
      <c r="C77" s="2" t="n">
        <v>1</v>
      </c>
    </row>
    <row r="78" customFormat="false" ht="15" hidden="false" customHeight="false" outlineLevel="0" collapsed="false">
      <c r="A78" s="2" t="n">
        <v>77</v>
      </c>
      <c r="B78" s="2" t="n">
        <v>39</v>
      </c>
      <c r="C78" s="2" t="n">
        <v>1</v>
      </c>
    </row>
    <row r="79" customFormat="false" ht="15" hidden="false" customHeight="false" outlineLevel="0" collapsed="false">
      <c r="A79" s="2" t="n">
        <v>78</v>
      </c>
      <c r="B79" s="2" t="n">
        <v>39</v>
      </c>
      <c r="C79" s="2" t="n">
        <v>1</v>
      </c>
    </row>
    <row r="80" customFormat="false" ht="15" hidden="false" customHeight="false" outlineLevel="0" collapsed="false">
      <c r="A80" s="2" t="n">
        <v>79</v>
      </c>
      <c r="B80" s="2" t="n">
        <v>40</v>
      </c>
      <c r="C80" s="2" t="n">
        <v>1</v>
      </c>
    </row>
    <row r="81" customFormat="false" ht="15" hidden="false" customHeight="false" outlineLevel="0" collapsed="false">
      <c r="A81" s="2" t="n">
        <v>80</v>
      </c>
      <c r="B81" s="2" t="n">
        <v>40</v>
      </c>
      <c r="C81" s="2" t="n">
        <v>1</v>
      </c>
    </row>
    <row r="82" customFormat="false" ht="15" hidden="false" customHeight="false" outlineLevel="0" collapsed="false">
      <c r="A82" s="2" t="n">
        <v>81</v>
      </c>
      <c r="B82" s="2" t="n">
        <v>41</v>
      </c>
      <c r="C82" s="2" t="n">
        <v>1</v>
      </c>
    </row>
    <row r="83" customFormat="false" ht="15" hidden="false" customHeight="false" outlineLevel="0" collapsed="false">
      <c r="A83" s="2" t="n">
        <v>82</v>
      </c>
      <c r="B83" s="2" t="n">
        <v>41</v>
      </c>
      <c r="C83" s="2" t="n">
        <v>1</v>
      </c>
    </row>
    <row r="84" customFormat="false" ht="15" hidden="false" customHeight="false" outlineLevel="0" collapsed="false">
      <c r="A84" s="2" t="n">
        <v>83</v>
      </c>
      <c r="B84" s="2" t="n">
        <v>42</v>
      </c>
      <c r="C84" s="2" t="n">
        <v>1</v>
      </c>
    </row>
    <row r="85" customFormat="false" ht="15" hidden="false" customHeight="false" outlineLevel="0" collapsed="false">
      <c r="A85" s="2" t="n">
        <v>84</v>
      </c>
      <c r="B85" s="2" t="n">
        <v>42</v>
      </c>
      <c r="C85" s="2" t="n">
        <v>1</v>
      </c>
    </row>
    <row r="86" customFormat="false" ht="15" hidden="false" customHeight="false" outlineLevel="0" collapsed="false">
      <c r="A86" s="2" t="n">
        <v>85</v>
      </c>
      <c r="B86" s="2" t="n">
        <v>43</v>
      </c>
      <c r="C86" s="2" t="n">
        <v>1</v>
      </c>
    </row>
    <row r="87" customFormat="false" ht="15" hidden="false" customHeight="false" outlineLevel="0" collapsed="false">
      <c r="A87" s="2" t="n">
        <v>86</v>
      </c>
      <c r="B87" s="2" t="n">
        <v>43</v>
      </c>
      <c r="C87" s="2" t="n">
        <v>1</v>
      </c>
    </row>
    <row r="88" customFormat="false" ht="15" hidden="false" customHeight="false" outlineLevel="0" collapsed="false">
      <c r="A88" s="2" t="n">
        <v>87</v>
      </c>
      <c r="B88" s="2" t="n">
        <v>44</v>
      </c>
      <c r="C88" s="2" t="n">
        <v>1</v>
      </c>
    </row>
    <row r="89" customFormat="false" ht="15" hidden="false" customHeight="false" outlineLevel="0" collapsed="false">
      <c r="A89" s="2" t="n">
        <v>88</v>
      </c>
      <c r="B89" s="2" t="n">
        <v>44</v>
      </c>
      <c r="C89" s="2" t="n">
        <v>1</v>
      </c>
    </row>
    <row r="90" customFormat="false" ht="15" hidden="false" customHeight="false" outlineLevel="0" collapsed="false">
      <c r="A90" s="2" t="n">
        <v>89</v>
      </c>
      <c r="B90" s="2" t="n">
        <v>45</v>
      </c>
      <c r="C90" s="2" t="n">
        <v>1</v>
      </c>
    </row>
    <row r="91" customFormat="false" ht="15" hidden="false" customHeight="false" outlineLevel="0" collapsed="false">
      <c r="A91" s="2" t="n">
        <v>90</v>
      </c>
      <c r="B91" s="2" t="n">
        <v>45</v>
      </c>
      <c r="C91" s="2" t="n">
        <v>1</v>
      </c>
    </row>
    <row r="92" customFormat="false" ht="15" hidden="false" customHeight="false" outlineLevel="0" collapsed="false">
      <c r="A92" s="2" t="n">
        <v>91</v>
      </c>
      <c r="B92" s="2" t="n">
        <v>46</v>
      </c>
      <c r="C92" s="2" t="n">
        <v>1</v>
      </c>
    </row>
    <row r="93" customFormat="false" ht="15" hidden="false" customHeight="false" outlineLevel="0" collapsed="false">
      <c r="A93" s="2" t="n">
        <v>92</v>
      </c>
      <c r="B93" s="2" t="n">
        <v>46</v>
      </c>
      <c r="C93" s="2" t="n">
        <v>1</v>
      </c>
    </row>
    <row r="94" customFormat="false" ht="15" hidden="false" customHeight="false" outlineLevel="0" collapsed="false">
      <c r="A94" s="2" t="n">
        <v>93</v>
      </c>
      <c r="B94" s="2" t="n">
        <v>47</v>
      </c>
      <c r="C94" s="2" t="n">
        <v>1</v>
      </c>
    </row>
    <row r="95" customFormat="false" ht="15" hidden="false" customHeight="false" outlineLevel="0" collapsed="false">
      <c r="A95" s="2" t="n">
        <v>94</v>
      </c>
      <c r="B95" s="2" t="n">
        <v>47</v>
      </c>
      <c r="C95" s="2" t="n">
        <v>1</v>
      </c>
    </row>
    <row r="96" customFormat="false" ht="15" hidden="false" customHeight="false" outlineLevel="0" collapsed="false">
      <c r="A96" s="2" t="n">
        <v>95</v>
      </c>
      <c r="B96" s="2" t="n">
        <v>48</v>
      </c>
      <c r="C96" s="2" t="n">
        <v>1</v>
      </c>
    </row>
    <row r="97" customFormat="false" ht="15" hidden="false" customHeight="false" outlineLevel="0" collapsed="false">
      <c r="A97" s="2" t="n">
        <v>96</v>
      </c>
      <c r="B97" s="2" t="n">
        <v>48</v>
      </c>
      <c r="C97" s="2" t="n">
        <v>1</v>
      </c>
    </row>
    <row r="98" customFormat="false" ht="15" hidden="false" customHeight="false" outlineLevel="0" collapsed="false">
      <c r="A98" s="2" t="n">
        <v>97</v>
      </c>
      <c r="B98" s="2" t="n">
        <v>49</v>
      </c>
      <c r="C98" s="2" t="n">
        <v>1</v>
      </c>
    </row>
    <row r="99" customFormat="false" ht="15" hidden="false" customHeight="false" outlineLevel="0" collapsed="false">
      <c r="A99" s="2" t="n">
        <v>98</v>
      </c>
      <c r="B99" s="2" t="n">
        <v>49</v>
      </c>
      <c r="C99" s="2" t="n">
        <v>1</v>
      </c>
    </row>
    <row r="100" customFormat="false" ht="15" hidden="false" customHeight="false" outlineLevel="0" collapsed="false">
      <c r="A100" s="2" t="n">
        <v>99</v>
      </c>
      <c r="B100" s="2" t="n">
        <v>50</v>
      </c>
      <c r="C100" s="2" t="n">
        <v>1</v>
      </c>
    </row>
    <row r="101" customFormat="false" ht="15" hidden="false" customHeight="false" outlineLevel="0" collapsed="false">
      <c r="A101" s="2" t="n">
        <v>100</v>
      </c>
      <c r="B101" s="2" t="n">
        <v>50</v>
      </c>
      <c r="C101" s="2" t="n">
        <v>1</v>
      </c>
    </row>
    <row r="102" customFormat="false" ht="15" hidden="false" customHeight="false" outlineLevel="0" collapsed="false">
      <c r="A102" s="2" t="n">
        <v>101</v>
      </c>
      <c r="B102" s="2" t="n">
        <v>51</v>
      </c>
      <c r="C102" s="2" t="n">
        <v>1</v>
      </c>
    </row>
    <row r="103" customFormat="false" ht="15" hidden="false" customHeight="false" outlineLevel="0" collapsed="false">
      <c r="A103" s="2" t="n">
        <v>102</v>
      </c>
      <c r="B103" s="2" t="n">
        <v>51</v>
      </c>
      <c r="C103" s="2" t="n">
        <v>1</v>
      </c>
    </row>
    <row r="104" customFormat="false" ht="15" hidden="false" customHeight="false" outlineLevel="0" collapsed="false">
      <c r="A104" s="2" t="n">
        <v>103</v>
      </c>
      <c r="B104" s="2" t="n">
        <v>52</v>
      </c>
      <c r="C104" s="2" t="n">
        <v>1</v>
      </c>
    </row>
    <row r="105" customFormat="false" ht="15" hidden="false" customHeight="false" outlineLevel="0" collapsed="false">
      <c r="A105" s="2" t="n">
        <v>104</v>
      </c>
      <c r="B105" s="2" t="n">
        <v>52</v>
      </c>
      <c r="C105" s="2" t="n">
        <v>1</v>
      </c>
    </row>
    <row r="106" customFormat="false" ht="15" hidden="false" customHeight="false" outlineLevel="0" collapsed="false">
      <c r="A106" s="2" t="n">
        <v>105</v>
      </c>
      <c r="B106" s="2" t="n">
        <v>53</v>
      </c>
      <c r="C106" s="2" t="n">
        <v>1</v>
      </c>
    </row>
    <row r="107" customFormat="false" ht="15" hidden="false" customHeight="false" outlineLevel="0" collapsed="false">
      <c r="A107" s="2" t="n">
        <v>106</v>
      </c>
      <c r="B107" s="2" t="n">
        <v>53</v>
      </c>
      <c r="C107" s="2" t="n">
        <v>1</v>
      </c>
    </row>
    <row r="108" customFormat="false" ht="15" hidden="false" customHeight="false" outlineLevel="0" collapsed="false">
      <c r="A108" s="2" t="n">
        <v>107</v>
      </c>
      <c r="B108" s="2" t="n">
        <v>54</v>
      </c>
      <c r="C108" s="2" t="n">
        <v>1</v>
      </c>
    </row>
    <row r="109" customFormat="false" ht="15" hidden="false" customHeight="false" outlineLevel="0" collapsed="false">
      <c r="A109" s="2" t="n">
        <v>108</v>
      </c>
      <c r="B109" s="2" t="n">
        <v>54</v>
      </c>
      <c r="C109" s="2" t="n">
        <v>1</v>
      </c>
    </row>
    <row r="110" customFormat="false" ht="15" hidden="false" customHeight="false" outlineLevel="0" collapsed="false">
      <c r="A110" s="2" t="n">
        <v>109</v>
      </c>
      <c r="B110" s="2" t="n">
        <v>55</v>
      </c>
      <c r="C110" s="2" t="n">
        <v>1</v>
      </c>
    </row>
    <row r="111" customFormat="false" ht="15" hidden="false" customHeight="false" outlineLevel="0" collapsed="false">
      <c r="A111" s="2" t="n">
        <v>110</v>
      </c>
      <c r="B111" s="2" t="n">
        <v>55</v>
      </c>
      <c r="C111" s="2" t="n">
        <v>1</v>
      </c>
    </row>
    <row r="112" customFormat="false" ht="15" hidden="false" customHeight="false" outlineLevel="0" collapsed="false">
      <c r="A112" s="2" t="n">
        <v>111</v>
      </c>
      <c r="B112" s="2" t="n">
        <v>56</v>
      </c>
      <c r="C112" s="2" t="n">
        <v>1</v>
      </c>
    </row>
    <row r="113" customFormat="false" ht="15" hidden="false" customHeight="false" outlineLevel="0" collapsed="false">
      <c r="A113" s="2" t="n">
        <v>112</v>
      </c>
      <c r="B113" s="2" t="n">
        <v>56</v>
      </c>
      <c r="C113" s="2" t="n">
        <v>1</v>
      </c>
    </row>
    <row r="114" customFormat="false" ht="15" hidden="false" customHeight="false" outlineLevel="0" collapsed="false">
      <c r="A114" s="2" t="n">
        <v>113</v>
      </c>
      <c r="B114" s="2" t="n">
        <v>57</v>
      </c>
      <c r="C114" s="2" t="n">
        <v>1</v>
      </c>
    </row>
    <row r="115" customFormat="false" ht="15" hidden="false" customHeight="false" outlineLevel="0" collapsed="false">
      <c r="A115" s="2" t="n">
        <v>114</v>
      </c>
      <c r="B115" s="2" t="n">
        <v>57</v>
      </c>
      <c r="C115" s="2" t="n">
        <v>1</v>
      </c>
    </row>
    <row r="116" customFormat="false" ht="15" hidden="false" customHeight="false" outlineLevel="0" collapsed="false">
      <c r="A116" s="2" t="n">
        <v>115</v>
      </c>
      <c r="B116" s="2" t="n">
        <v>58</v>
      </c>
      <c r="C116" s="2" t="n">
        <v>1</v>
      </c>
    </row>
    <row r="117" customFormat="false" ht="15" hidden="false" customHeight="false" outlineLevel="0" collapsed="false">
      <c r="A117" s="2" t="n">
        <v>116</v>
      </c>
      <c r="B117" s="2" t="n">
        <v>58</v>
      </c>
      <c r="C117" s="2" t="n">
        <v>1</v>
      </c>
    </row>
    <row r="118" customFormat="false" ht="15" hidden="false" customHeight="false" outlineLevel="0" collapsed="false">
      <c r="A118" s="2" t="n">
        <v>117</v>
      </c>
      <c r="B118" s="2" t="n">
        <v>59</v>
      </c>
      <c r="C118" s="2" t="n">
        <v>1</v>
      </c>
    </row>
    <row r="119" customFormat="false" ht="15" hidden="false" customHeight="false" outlineLevel="0" collapsed="false">
      <c r="A119" s="2" t="n">
        <v>118</v>
      </c>
      <c r="B119" s="2" t="n">
        <v>59</v>
      </c>
      <c r="C119" s="2" t="n">
        <v>1</v>
      </c>
    </row>
    <row r="120" customFormat="false" ht="15" hidden="false" customHeight="false" outlineLevel="0" collapsed="false">
      <c r="A120" s="2" t="n">
        <v>119</v>
      </c>
      <c r="B120" s="2" t="n">
        <v>60</v>
      </c>
      <c r="C120" s="2" t="n">
        <v>1</v>
      </c>
    </row>
    <row r="121" customFormat="false" ht="15" hidden="false" customHeight="false" outlineLevel="0" collapsed="false">
      <c r="A121" s="2" t="n">
        <v>120</v>
      </c>
      <c r="B121" s="2" t="n">
        <v>60</v>
      </c>
      <c r="C121" s="2" t="n">
        <v>1</v>
      </c>
    </row>
    <row r="122" customFormat="false" ht="15" hidden="false" customHeight="false" outlineLevel="0" collapsed="false">
      <c r="A122" s="2" t="n">
        <v>121</v>
      </c>
      <c r="B122" s="2" t="n">
        <v>61</v>
      </c>
      <c r="C122" s="2" t="n">
        <v>1</v>
      </c>
    </row>
    <row r="123" customFormat="false" ht="15" hidden="false" customHeight="false" outlineLevel="0" collapsed="false">
      <c r="A123" s="2" t="n">
        <v>122</v>
      </c>
      <c r="B123" s="2" t="n">
        <v>61</v>
      </c>
      <c r="C123" s="2" t="n">
        <v>1</v>
      </c>
    </row>
    <row r="124" customFormat="false" ht="15" hidden="false" customHeight="false" outlineLevel="0" collapsed="false">
      <c r="A124" s="2" t="n">
        <v>123</v>
      </c>
      <c r="B124" s="2" t="n">
        <v>62</v>
      </c>
      <c r="C124" s="2" t="n">
        <v>1</v>
      </c>
    </row>
    <row r="125" customFormat="false" ht="15" hidden="false" customHeight="false" outlineLevel="0" collapsed="false">
      <c r="A125" s="2" t="n">
        <v>124</v>
      </c>
      <c r="B125" s="2" t="n">
        <v>62</v>
      </c>
      <c r="C125" s="2" t="n">
        <v>1</v>
      </c>
    </row>
    <row r="126" customFormat="false" ht="15" hidden="false" customHeight="false" outlineLevel="0" collapsed="false">
      <c r="A126" s="2" t="n">
        <v>125</v>
      </c>
      <c r="B126" s="2" t="n">
        <v>63</v>
      </c>
      <c r="C126" s="2" t="n">
        <v>1</v>
      </c>
    </row>
    <row r="127" customFormat="false" ht="15" hidden="false" customHeight="false" outlineLevel="0" collapsed="false">
      <c r="A127" s="2" t="n">
        <v>126</v>
      </c>
      <c r="B127" s="2" t="n">
        <v>63</v>
      </c>
      <c r="C127" s="2" t="n">
        <v>1</v>
      </c>
    </row>
    <row r="128" customFormat="false" ht="15" hidden="false" customHeight="false" outlineLevel="0" collapsed="false">
      <c r="A128" s="2" t="n">
        <v>127</v>
      </c>
      <c r="B128" s="2" t="n">
        <v>64</v>
      </c>
      <c r="C128" s="2" t="n">
        <v>1</v>
      </c>
    </row>
    <row r="129" customFormat="false" ht="15" hidden="false" customHeight="false" outlineLevel="0" collapsed="false">
      <c r="A129" s="2" t="n">
        <v>128</v>
      </c>
      <c r="B129" s="2" t="n">
        <v>64</v>
      </c>
      <c r="C129" s="2" t="n">
        <v>1</v>
      </c>
    </row>
    <row r="130" customFormat="false" ht="15" hidden="false" customHeight="false" outlineLevel="0" collapsed="false">
      <c r="A130" s="2" t="n">
        <v>129</v>
      </c>
      <c r="B130" s="2" t="n">
        <v>65</v>
      </c>
      <c r="C130" s="2" t="n">
        <v>1</v>
      </c>
    </row>
    <row r="131" customFormat="false" ht="15" hidden="false" customHeight="false" outlineLevel="0" collapsed="false">
      <c r="A131" s="2" t="n">
        <v>130</v>
      </c>
      <c r="B131" s="2" t="n">
        <v>65</v>
      </c>
      <c r="C131" s="2" t="n">
        <v>1</v>
      </c>
    </row>
    <row r="132" customFormat="false" ht="15" hidden="false" customHeight="false" outlineLevel="0" collapsed="false">
      <c r="A132" s="2" t="n">
        <v>131</v>
      </c>
      <c r="B132" s="2" t="n">
        <v>66</v>
      </c>
      <c r="C132" s="2" t="n">
        <v>1</v>
      </c>
    </row>
    <row r="133" customFormat="false" ht="15" hidden="false" customHeight="false" outlineLevel="0" collapsed="false">
      <c r="A133" s="2" t="n">
        <v>132</v>
      </c>
      <c r="B133" s="2" t="n">
        <v>66</v>
      </c>
      <c r="C133" s="2" t="n">
        <v>1</v>
      </c>
    </row>
    <row r="134" customFormat="false" ht="15" hidden="false" customHeight="false" outlineLevel="0" collapsed="false">
      <c r="A134" s="2" t="n">
        <v>133</v>
      </c>
      <c r="B134" s="2" t="n">
        <v>67</v>
      </c>
      <c r="C134" s="2" t="n">
        <v>1</v>
      </c>
    </row>
    <row r="135" customFormat="false" ht="15" hidden="false" customHeight="false" outlineLevel="0" collapsed="false">
      <c r="A135" s="2" t="n">
        <v>134</v>
      </c>
      <c r="B135" s="2" t="n">
        <v>67</v>
      </c>
      <c r="C135" s="2" t="n">
        <v>1</v>
      </c>
    </row>
    <row r="136" customFormat="false" ht="15" hidden="false" customHeight="false" outlineLevel="0" collapsed="false">
      <c r="A136" s="2" t="n">
        <v>135</v>
      </c>
      <c r="B136" s="2" t="n">
        <v>68</v>
      </c>
      <c r="C136" s="2" t="n">
        <v>1</v>
      </c>
    </row>
    <row r="137" customFormat="false" ht="15" hidden="false" customHeight="false" outlineLevel="0" collapsed="false">
      <c r="A137" s="2" t="n">
        <v>136</v>
      </c>
      <c r="B137" s="2" t="n">
        <v>68</v>
      </c>
      <c r="C137" s="2" t="n">
        <v>1</v>
      </c>
    </row>
    <row r="138" customFormat="false" ht="15" hidden="false" customHeight="false" outlineLevel="0" collapsed="false">
      <c r="A138" s="2" t="n">
        <v>137</v>
      </c>
      <c r="B138" s="2" t="n">
        <v>69</v>
      </c>
      <c r="C138" s="2" t="n">
        <v>1</v>
      </c>
    </row>
    <row r="139" customFormat="false" ht="15" hidden="false" customHeight="false" outlineLevel="0" collapsed="false">
      <c r="A139" s="2" t="n">
        <v>138</v>
      </c>
      <c r="B139" s="2" t="n">
        <v>69</v>
      </c>
      <c r="C139" s="2" t="n">
        <v>1</v>
      </c>
    </row>
    <row r="140" customFormat="false" ht="15" hidden="false" customHeight="false" outlineLevel="0" collapsed="false">
      <c r="A140" s="2" t="n">
        <v>139</v>
      </c>
      <c r="B140" s="2" t="n">
        <v>70</v>
      </c>
      <c r="C140" s="2" t="n">
        <v>1</v>
      </c>
    </row>
    <row r="141" customFormat="false" ht="15" hidden="false" customHeight="false" outlineLevel="0" collapsed="false">
      <c r="A141" s="2" t="n">
        <v>140</v>
      </c>
      <c r="B141" s="2" t="n">
        <v>70</v>
      </c>
      <c r="C141" s="2" t="n">
        <v>1</v>
      </c>
    </row>
    <row r="142" customFormat="false" ht="15" hidden="false" customHeight="false" outlineLevel="0" collapsed="false">
      <c r="A142" s="2" t="n">
        <v>141</v>
      </c>
      <c r="B142" s="2" t="n">
        <v>71</v>
      </c>
      <c r="C142" s="2" t="n">
        <v>1</v>
      </c>
    </row>
    <row r="143" customFormat="false" ht="15" hidden="false" customHeight="false" outlineLevel="0" collapsed="false">
      <c r="A143" s="2" t="n">
        <v>142</v>
      </c>
      <c r="B143" s="2" t="n">
        <v>71</v>
      </c>
      <c r="C143" s="2" t="n">
        <v>1</v>
      </c>
    </row>
    <row r="144" customFormat="false" ht="15" hidden="false" customHeight="false" outlineLevel="0" collapsed="false">
      <c r="A144" s="2" t="n">
        <v>143</v>
      </c>
      <c r="B144" s="2" t="n">
        <v>72</v>
      </c>
      <c r="C144" s="2" t="n">
        <v>1</v>
      </c>
    </row>
    <row r="145" customFormat="false" ht="15" hidden="false" customHeight="false" outlineLevel="0" collapsed="false">
      <c r="A145" s="2" t="n">
        <v>144</v>
      </c>
      <c r="B145" s="2" t="n">
        <v>72</v>
      </c>
      <c r="C145" s="2" t="n">
        <v>1</v>
      </c>
    </row>
    <row r="146" customFormat="false" ht="15" hidden="false" customHeight="false" outlineLevel="0" collapsed="false">
      <c r="A146" s="2" t="n">
        <v>145</v>
      </c>
      <c r="B146" s="2" t="n">
        <v>73</v>
      </c>
      <c r="C146" s="2" t="n">
        <v>1</v>
      </c>
    </row>
    <row r="147" customFormat="false" ht="15" hidden="false" customHeight="false" outlineLevel="0" collapsed="false">
      <c r="A147" s="2" t="n">
        <v>146</v>
      </c>
      <c r="B147" s="2" t="n">
        <v>73</v>
      </c>
      <c r="C147" s="2" t="n">
        <v>1</v>
      </c>
    </row>
    <row r="148" customFormat="false" ht="15" hidden="false" customHeight="false" outlineLevel="0" collapsed="false">
      <c r="A148" s="2" t="n">
        <v>147</v>
      </c>
      <c r="B148" s="2" t="n">
        <v>74</v>
      </c>
      <c r="C148" s="2" t="n">
        <v>1</v>
      </c>
    </row>
    <row r="149" customFormat="false" ht="15" hidden="false" customHeight="false" outlineLevel="0" collapsed="false">
      <c r="A149" s="2" t="n">
        <v>148</v>
      </c>
      <c r="B149" s="2" t="n">
        <v>74</v>
      </c>
      <c r="C149" s="2" t="n">
        <v>1</v>
      </c>
    </row>
    <row r="150" customFormat="false" ht="15" hidden="false" customHeight="false" outlineLevel="0" collapsed="false">
      <c r="A150" s="2" t="n">
        <v>149</v>
      </c>
      <c r="B150" s="2" t="n">
        <v>75</v>
      </c>
      <c r="C150" s="2" t="n">
        <v>1</v>
      </c>
    </row>
    <row r="151" customFormat="false" ht="15" hidden="false" customHeight="false" outlineLevel="0" collapsed="false">
      <c r="A151" s="2" t="n">
        <v>150</v>
      </c>
      <c r="B151" s="2" t="n">
        <v>75</v>
      </c>
      <c r="C151" s="2" t="n">
        <v>1</v>
      </c>
    </row>
    <row r="152" customFormat="false" ht="15" hidden="false" customHeight="false" outlineLevel="0" collapsed="false">
      <c r="A152" s="2" t="n">
        <v>151</v>
      </c>
      <c r="B152" s="2" t="n">
        <v>76</v>
      </c>
      <c r="C152" s="2" t="n">
        <v>1</v>
      </c>
    </row>
    <row r="153" customFormat="false" ht="15" hidden="false" customHeight="false" outlineLevel="0" collapsed="false">
      <c r="A153" s="2" t="n">
        <v>152</v>
      </c>
      <c r="B153" s="2" t="n">
        <v>76</v>
      </c>
      <c r="C153" s="2" t="n">
        <v>1</v>
      </c>
    </row>
    <row r="154" customFormat="false" ht="15" hidden="false" customHeight="false" outlineLevel="0" collapsed="false">
      <c r="A154" s="2" t="n">
        <v>153</v>
      </c>
      <c r="B154" s="2" t="n">
        <v>77</v>
      </c>
      <c r="C154" s="2" t="n">
        <v>1</v>
      </c>
    </row>
    <row r="155" customFormat="false" ht="15" hidden="false" customHeight="false" outlineLevel="0" collapsed="false">
      <c r="A155" s="2" t="n">
        <v>154</v>
      </c>
      <c r="B155" s="2" t="n">
        <v>77</v>
      </c>
      <c r="C155" s="2" t="n">
        <v>1</v>
      </c>
    </row>
    <row r="156" customFormat="false" ht="15" hidden="false" customHeight="false" outlineLevel="0" collapsed="false">
      <c r="A156" s="2" t="n">
        <v>155</v>
      </c>
      <c r="B156" s="2" t="n">
        <v>78</v>
      </c>
      <c r="C156" s="2" t="n">
        <v>1</v>
      </c>
    </row>
    <row r="157" customFormat="false" ht="15" hidden="false" customHeight="false" outlineLevel="0" collapsed="false">
      <c r="A157" s="2" t="n">
        <v>156</v>
      </c>
      <c r="B157" s="2" t="n">
        <v>78</v>
      </c>
      <c r="C157" s="2" t="n">
        <v>1</v>
      </c>
    </row>
    <row r="158" customFormat="false" ht="15" hidden="false" customHeight="false" outlineLevel="0" collapsed="false">
      <c r="A158" s="2" t="n">
        <v>157</v>
      </c>
      <c r="B158" s="2" t="n">
        <v>79</v>
      </c>
      <c r="C158" s="2" t="n">
        <v>1</v>
      </c>
    </row>
    <row r="159" customFormat="false" ht="15" hidden="false" customHeight="false" outlineLevel="0" collapsed="false">
      <c r="A159" s="2" t="n">
        <v>158</v>
      </c>
      <c r="B159" s="2" t="n">
        <v>79</v>
      </c>
      <c r="C159" s="2" t="n">
        <v>1</v>
      </c>
    </row>
    <row r="160" customFormat="false" ht="15" hidden="false" customHeight="false" outlineLevel="0" collapsed="false">
      <c r="A160" s="2" t="n">
        <v>159</v>
      </c>
      <c r="B160" s="2" t="n">
        <v>80</v>
      </c>
      <c r="C160" s="2" t="n">
        <v>1</v>
      </c>
    </row>
    <row r="161" customFormat="false" ht="15" hidden="false" customHeight="false" outlineLevel="0" collapsed="false">
      <c r="A161" s="2" t="n">
        <v>160</v>
      </c>
      <c r="B161" s="2" t="n">
        <v>80</v>
      </c>
      <c r="C161" s="2" t="n">
        <v>1</v>
      </c>
    </row>
    <row r="162" customFormat="false" ht="15" hidden="false" customHeight="false" outlineLevel="0" collapsed="false">
      <c r="A162" s="2" t="n">
        <v>161</v>
      </c>
      <c r="B162" s="2" t="n">
        <v>81</v>
      </c>
      <c r="C162" s="2" t="n">
        <v>1</v>
      </c>
    </row>
    <row r="163" customFormat="false" ht="15" hidden="false" customHeight="false" outlineLevel="0" collapsed="false">
      <c r="A163" s="2" t="n">
        <v>162</v>
      </c>
      <c r="B163" s="2" t="n">
        <v>81</v>
      </c>
      <c r="C163" s="2" t="n">
        <v>1</v>
      </c>
    </row>
    <row r="164" customFormat="false" ht="15" hidden="false" customHeight="false" outlineLevel="0" collapsed="false">
      <c r="A164" s="2" t="n">
        <v>163</v>
      </c>
      <c r="B164" s="2" t="n">
        <v>82</v>
      </c>
      <c r="C164" s="2" t="n">
        <v>1</v>
      </c>
    </row>
    <row r="165" customFormat="false" ht="15" hidden="false" customHeight="false" outlineLevel="0" collapsed="false">
      <c r="A165" s="2" t="n">
        <v>164</v>
      </c>
      <c r="B165" s="2" t="n">
        <v>82</v>
      </c>
      <c r="C165" s="2" t="n">
        <v>1</v>
      </c>
    </row>
    <row r="166" customFormat="false" ht="15" hidden="false" customHeight="false" outlineLevel="0" collapsed="false">
      <c r="A166" s="2" t="n">
        <v>165</v>
      </c>
      <c r="B166" s="2" t="n">
        <v>83</v>
      </c>
      <c r="C166" s="2" t="n">
        <v>1</v>
      </c>
    </row>
    <row r="167" customFormat="false" ht="15" hidden="false" customHeight="false" outlineLevel="0" collapsed="false">
      <c r="A167" s="2" t="n">
        <v>166</v>
      </c>
      <c r="B167" s="2" t="n">
        <v>83</v>
      </c>
      <c r="C167" s="2" t="n">
        <v>1</v>
      </c>
    </row>
    <row r="168" customFormat="false" ht="15" hidden="false" customHeight="false" outlineLevel="0" collapsed="false">
      <c r="A168" s="2" t="n">
        <v>167</v>
      </c>
      <c r="B168" s="2" t="n">
        <v>84</v>
      </c>
      <c r="C168" s="2" t="n">
        <v>1</v>
      </c>
    </row>
    <row r="169" customFormat="false" ht="15" hidden="false" customHeight="false" outlineLevel="0" collapsed="false">
      <c r="A169" s="2" t="n">
        <v>168</v>
      </c>
      <c r="B169" s="2" t="n">
        <v>84</v>
      </c>
      <c r="C169" s="2" t="n">
        <v>1</v>
      </c>
    </row>
    <row r="170" customFormat="false" ht="15" hidden="false" customHeight="false" outlineLevel="0" collapsed="false">
      <c r="A170" s="2" t="n">
        <v>169</v>
      </c>
      <c r="B170" s="2" t="n">
        <v>85</v>
      </c>
      <c r="C170" s="2" t="n">
        <v>1</v>
      </c>
    </row>
    <row r="171" customFormat="false" ht="15" hidden="false" customHeight="false" outlineLevel="0" collapsed="false">
      <c r="A171" s="2" t="n">
        <v>170</v>
      </c>
      <c r="B171" s="2" t="n">
        <v>85</v>
      </c>
      <c r="C171" s="2" t="n">
        <v>1</v>
      </c>
    </row>
    <row r="172" customFormat="false" ht="15" hidden="false" customHeight="false" outlineLevel="0" collapsed="false">
      <c r="A172" s="2" t="n">
        <v>171</v>
      </c>
      <c r="B172" s="2" t="n">
        <v>86</v>
      </c>
      <c r="C172" s="2" t="n">
        <v>1</v>
      </c>
    </row>
    <row r="173" customFormat="false" ht="15" hidden="false" customHeight="false" outlineLevel="0" collapsed="false">
      <c r="A173" s="2" t="n">
        <v>172</v>
      </c>
      <c r="B173" s="2" t="n">
        <v>86</v>
      </c>
      <c r="C173" s="2" t="n">
        <v>1</v>
      </c>
    </row>
    <row r="174" customFormat="false" ht="15" hidden="false" customHeight="false" outlineLevel="0" collapsed="false">
      <c r="A174" s="2" t="n">
        <v>173</v>
      </c>
      <c r="B174" s="2" t="n">
        <v>87</v>
      </c>
      <c r="C174" s="2" t="n">
        <v>1</v>
      </c>
    </row>
    <row r="175" customFormat="false" ht="15" hidden="false" customHeight="false" outlineLevel="0" collapsed="false">
      <c r="A175" s="2" t="n">
        <v>174</v>
      </c>
      <c r="B175" s="2" t="n">
        <v>87</v>
      </c>
      <c r="C175" s="2" t="n">
        <v>1</v>
      </c>
    </row>
    <row r="176" customFormat="false" ht="15" hidden="false" customHeight="false" outlineLevel="0" collapsed="false">
      <c r="A176" s="2" t="n">
        <v>175</v>
      </c>
      <c r="B176" s="2" t="n">
        <v>88</v>
      </c>
      <c r="C176" s="2" t="n">
        <v>1</v>
      </c>
    </row>
    <row r="177" customFormat="false" ht="15" hidden="false" customHeight="false" outlineLevel="0" collapsed="false">
      <c r="A177" s="2" t="n">
        <v>176</v>
      </c>
      <c r="B177" s="2" t="n">
        <v>88</v>
      </c>
      <c r="C177" s="2" t="n">
        <v>1</v>
      </c>
    </row>
    <row r="178" customFormat="false" ht="15" hidden="false" customHeight="false" outlineLevel="0" collapsed="false">
      <c r="A178" s="2" t="n">
        <v>177</v>
      </c>
      <c r="B178" s="2" t="n">
        <v>89</v>
      </c>
      <c r="C178" s="2" t="n">
        <v>1</v>
      </c>
    </row>
    <row r="179" customFormat="false" ht="15" hidden="false" customHeight="false" outlineLevel="0" collapsed="false">
      <c r="A179" s="2" t="n">
        <v>178</v>
      </c>
      <c r="B179" s="2" t="n">
        <v>89</v>
      </c>
      <c r="C179" s="2" t="n">
        <v>1</v>
      </c>
    </row>
    <row r="180" customFormat="false" ht="15" hidden="false" customHeight="false" outlineLevel="0" collapsed="false">
      <c r="A180" s="2" t="n">
        <v>179</v>
      </c>
      <c r="B180" s="2" t="n">
        <v>90</v>
      </c>
      <c r="C180" s="2" t="n">
        <v>1</v>
      </c>
    </row>
    <row r="181" customFormat="false" ht="15" hidden="false" customHeight="false" outlineLevel="0" collapsed="false">
      <c r="A181" s="2" t="n">
        <v>180</v>
      </c>
      <c r="B181" s="2" t="n">
        <v>90</v>
      </c>
      <c r="C181" s="2" t="n">
        <v>1</v>
      </c>
    </row>
    <row r="182" customFormat="false" ht="15" hidden="false" customHeight="false" outlineLevel="0" collapsed="false">
      <c r="A182" s="2" t="n">
        <v>181</v>
      </c>
      <c r="B182" s="2" t="n">
        <v>91</v>
      </c>
      <c r="C182" s="2" t="n">
        <v>1</v>
      </c>
    </row>
    <row r="183" customFormat="false" ht="15" hidden="false" customHeight="false" outlineLevel="0" collapsed="false">
      <c r="A183" s="2" t="n">
        <v>182</v>
      </c>
      <c r="B183" s="2" t="n">
        <v>91</v>
      </c>
      <c r="C183" s="2" t="n">
        <v>1</v>
      </c>
    </row>
    <row r="184" customFormat="false" ht="15" hidden="false" customHeight="false" outlineLevel="0" collapsed="false">
      <c r="A184" s="2" t="n">
        <v>183</v>
      </c>
      <c r="B184" s="2" t="n">
        <v>92</v>
      </c>
      <c r="C184" s="2" t="n">
        <v>1</v>
      </c>
    </row>
    <row r="185" customFormat="false" ht="15" hidden="false" customHeight="false" outlineLevel="0" collapsed="false">
      <c r="A185" s="2" t="n">
        <v>184</v>
      </c>
      <c r="B185" s="2" t="n">
        <v>92</v>
      </c>
      <c r="C185" s="2" t="n">
        <v>1</v>
      </c>
    </row>
    <row r="186" customFormat="false" ht="15" hidden="false" customHeight="false" outlineLevel="0" collapsed="false">
      <c r="A186" s="2" t="n">
        <v>185</v>
      </c>
      <c r="B186" s="2" t="n">
        <v>93</v>
      </c>
      <c r="C186" s="2" t="n">
        <v>1</v>
      </c>
    </row>
    <row r="187" customFormat="false" ht="15" hidden="false" customHeight="false" outlineLevel="0" collapsed="false">
      <c r="A187" s="2" t="n">
        <v>186</v>
      </c>
      <c r="B187" s="2" t="n">
        <v>93</v>
      </c>
      <c r="C187" s="2" t="n">
        <v>1</v>
      </c>
    </row>
    <row r="188" customFormat="false" ht="15" hidden="false" customHeight="false" outlineLevel="0" collapsed="false">
      <c r="A188" s="2" t="n">
        <v>187</v>
      </c>
      <c r="B188" s="2" t="n">
        <v>94</v>
      </c>
      <c r="C188" s="2" t="n">
        <v>1</v>
      </c>
    </row>
    <row r="189" customFormat="false" ht="15" hidden="false" customHeight="false" outlineLevel="0" collapsed="false">
      <c r="A189" s="2" t="n">
        <v>188</v>
      </c>
      <c r="B189" s="2" t="n">
        <v>94</v>
      </c>
      <c r="C189" s="2" t="n">
        <v>1</v>
      </c>
    </row>
    <row r="190" customFormat="false" ht="15" hidden="false" customHeight="false" outlineLevel="0" collapsed="false">
      <c r="A190" s="2" t="n">
        <v>189</v>
      </c>
      <c r="B190" s="2" t="n">
        <v>95</v>
      </c>
      <c r="C190" s="2" t="n">
        <v>1</v>
      </c>
    </row>
    <row r="191" customFormat="false" ht="15" hidden="false" customHeight="false" outlineLevel="0" collapsed="false">
      <c r="A191" s="2" t="n">
        <v>190</v>
      </c>
      <c r="B191" s="2" t="n">
        <v>95</v>
      </c>
      <c r="C191" s="2" t="n">
        <v>1</v>
      </c>
    </row>
    <row r="192" customFormat="false" ht="15" hidden="false" customHeight="false" outlineLevel="0" collapsed="false">
      <c r="A192" s="2" t="n">
        <v>191</v>
      </c>
      <c r="B192" s="2" t="n">
        <v>96</v>
      </c>
      <c r="C192" s="2" t="n">
        <v>1</v>
      </c>
    </row>
    <row r="193" customFormat="false" ht="15" hidden="false" customHeight="false" outlineLevel="0" collapsed="false">
      <c r="A193" s="2" t="n">
        <v>192</v>
      </c>
      <c r="B193" s="2" t="n">
        <v>96</v>
      </c>
      <c r="C193" s="2" t="n">
        <v>1</v>
      </c>
    </row>
    <row r="194" customFormat="false" ht="15" hidden="false" customHeight="false" outlineLevel="0" collapsed="false">
      <c r="A194" s="2" t="n">
        <v>193</v>
      </c>
      <c r="B194" s="2" t="n">
        <v>97</v>
      </c>
      <c r="C194" s="2" t="n">
        <v>1</v>
      </c>
    </row>
    <row r="195" customFormat="false" ht="15" hidden="false" customHeight="false" outlineLevel="0" collapsed="false">
      <c r="A195" s="2" t="n">
        <v>194</v>
      </c>
      <c r="B195" s="2" t="n">
        <v>97</v>
      </c>
      <c r="C195" s="2" t="n">
        <v>1</v>
      </c>
    </row>
    <row r="196" customFormat="false" ht="15" hidden="false" customHeight="false" outlineLevel="0" collapsed="false">
      <c r="A196" s="2" t="n">
        <v>195</v>
      </c>
      <c r="B196" s="2" t="n">
        <v>98</v>
      </c>
      <c r="C196" s="2" t="n">
        <v>1</v>
      </c>
    </row>
    <row r="197" customFormat="false" ht="15" hidden="false" customHeight="false" outlineLevel="0" collapsed="false">
      <c r="A197" s="2" t="n">
        <v>196</v>
      </c>
      <c r="B197" s="2" t="n">
        <v>98</v>
      </c>
      <c r="C197" s="2" t="n">
        <v>1</v>
      </c>
    </row>
    <row r="198" customFormat="false" ht="15" hidden="false" customHeight="false" outlineLevel="0" collapsed="false">
      <c r="A198" s="2" t="n">
        <v>197</v>
      </c>
      <c r="B198" s="2" t="n">
        <v>99</v>
      </c>
      <c r="C198" s="2" t="n">
        <v>1</v>
      </c>
    </row>
    <row r="199" customFormat="false" ht="15" hidden="false" customHeight="false" outlineLevel="0" collapsed="false">
      <c r="A199" s="2" t="n">
        <v>198</v>
      </c>
      <c r="B199" s="2" t="n">
        <v>99</v>
      </c>
      <c r="C199" s="2" t="n">
        <v>1</v>
      </c>
    </row>
    <row r="200" customFormat="false" ht="15" hidden="false" customHeight="false" outlineLevel="0" collapsed="false">
      <c r="A200" s="2" t="n">
        <v>199</v>
      </c>
      <c r="B200" s="2" t="n">
        <v>100</v>
      </c>
      <c r="C200" s="2" t="n">
        <v>1</v>
      </c>
    </row>
    <row r="201" customFormat="false" ht="15" hidden="false" customHeight="false" outlineLevel="0" collapsed="false">
      <c r="A201" s="2" t="n">
        <v>200</v>
      </c>
      <c r="B201" s="2" t="n">
        <v>100</v>
      </c>
      <c r="C201" s="2" t="n">
        <v>1</v>
      </c>
    </row>
    <row r="202" customFormat="false" ht="15" hidden="false" customHeight="false" outlineLevel="0" collapsed="false">
      <c r="A202" s="2" t="n">
        <v>201</v>
      </c>
      <c r="B202" s="2" t="n">
        <v>101</v>
      </c>
      <c r="C202" s="2" t="n">
        <v>1</v>
      </c>
    </row>
    <row r="203" customFormat="false" ht="15" hidden="false" customHeight="false" outlineLevel="0" collapsed="false">
      <c r="A203" s="2" t="n">
        <v>202</v>
      </c>
      <c r="B203" s="2" t="n">
        <v>101</v>
      </c>
      <c r="C203" s="2" t="n">
        <v>1</v>
      </c>
    </row>
    <row r="204" customFormat="false" ht="15" hidden="false" customHeight="false" outlineLevel="0" collapsed="false">
      <c r="A204" s="2" t="n">
        <v>203</v>
      </c>
      <c r="B204" s="2" t="n">
        <v>102</v>
      </c>
      <c r="C204" s="2" t="n">
        <v>1</v>
      </c>
    </row>
    <row r="205" customFormat="false" ht="15" hidden="false" customHeight="false" outlineLevel="0" collapsed="false">
      <c r="A205" s="2" t="n">
        <v>204</v>
      </c>
      <c r="B205" s="2" t="n">
        <v>102</v>
      </c>
      <c r="C205" s="2" t="n">
        <v>1</v>
      </c>
    </row>
    <row r="206" customFormat="false" ht="15" hidden="false" customHeight="false" outlineLevel="0" collapsed="false">
      <c r="A206" s="2" t="n">
        <v>205</v>
      </c>
      <c r="B206" s="2" t="n">
        <v>103</v>
      </c>
      <c r="C206" s="2" t="n">
        <v>1</v>
      </c>
    </row>
    <row r="207" customFormat="false" ht="15" hidden="false" customHeight="false" outlineLevel="0" collapsed="false">
      <c r="A207" s="2" t="n">
        <v>206</v>
      </c>
      <c r="B207" s="2" t="n">
        <v>103</v>
      </c>
      <c r="C207" s="2" t="n">
        <v>1</v>
      </c>
    </row>
    <row r="208" customFormat="false" ht="15" hidden="false" customHeight="false" outlineLevel="0" collapsed="false">
      <c r="A208" s="2" t="n">
        <v>207</v>
      </c>
      <c r="B208" s="2" t="n">
        <v>104</v>
      </c>
      <c r="C208" s="2" t="n">
        <v>1</v>
      </c>
    </row>
    <row r="209" customFormat="false" ht="15" hidden="false" customHeight="false" outlineLevel="0" collapsed="false">
      <c r="A209" s="2" t="n">
        <v>208</v>
      </c>
      <c r="B209" s="2" t="n">
        <v>104</v>
      </c>
      <c r="C209" s="2" t="n">
        <v>1</v>
      </c>
    </row>
    <row r="210" customFormat="false" ht="15" hidden="false" customHeight="false" outlineLevel="0" collapsed="false">
      <c r="A210" s="2" t="n">
        <v>209</v>
      </c>
      <c r="B210" s="2" t="n">
        <v>105</v>
      </c>
      <c r="C210" s="2" t="n">
        <v>1</v>
      </c>
    </row>
    <row r="211" customFormat="false" ht="15" hidden="false" customHeight="false" outlineLevel="0" collapsed="false">
      <c r="A211" s="2" t="n">
        <v>210</v>
      </c>
      <c r="B211" s="2" t="n">
        <v>105</v>
      </c>
      <c r="C211" s="2" t="n">
        <v>1</v>
      </c>
    </row>
    <row r="212" customFormat="false" ht="15" hidden="false" customHeight="false" outlineLevel="0" collapsed="false">
      <c r="A212" s="2" t="n">
        <v>211</v>
      </c>
      <c r="B212" s="2" t="n">
        <v>106</v>
      </c>
      <c r="C212" s="2" t="n">
        <v>1</v>
      </c>
    </row>
    <row r="213" customFormat="false" ht="15" hidden="false" customHeight="false" outlineLevel="0" collapsed="false">
      <c r="A213" s="2" t="n">
        <v>212</v>
      </c>
      <c r="B213" s="2" t="n">
        <v>106</v>
      </c>
      <c r="C213" s="2" t="n">
        <v>1</v>
      </c>
    </row>
    <row r="214" customFormat="false" ht="15" hidden="false" customHeight="false" outlineLevel="0" collapsed="false">
      <c r="A214" s="2" t="n">
        <v>213</v>
      </c>
      <c r="B214" s="2" t="n">
        <v>107</v>
      </c>
      <c r="C214" s="2" t="n">
        <v>1</v>
      </c>
    </row>
    <row r="215" customFormat="false" ht="15" hidden="false" customHeight="false" outlineLevel="0" collapsed="false">
      <c r="A215" s="2" t="n">
        <v>214</v>
      </c>
      <c r="B215" s="2" t="n">
        <v>107</v>
      </c>
      <c r="C215" s="2" t="n">
        <v>1</v>
      </c>
    </row>
    <row r="216" customFormat="false" ht="15" hidden="false" customHeight="false" outlineLevel="0" collapsed="false">
      <c r="A216" s="2" t="n">
        <v>215</v>
      </c>
      <c r="B216" s="2" t="n">
        <v>108</v>
      </c>
      <c r="C216" s="2" t="n">
        <v>1</v>
      </c>
    </row>
    <row r="217" customFormat="false" ht="15" hidden="false" customHeight="false" outlineLevel="0" collapsed="false">
      <c r="A217" s="2" t="n">
        <v>216</v>
      </c>
      <c r="B217" s="2" t="n">
        <v>108</v>
      </c>
      <c r="C217" s="2" t="n">
        <v>1</v>
      </c>
    </row>
    <row r="218" customFormat="false" ht="15" hidden="false" customHeight="false" outlineLevel="0" collapsed="false">
      <c r="A218" s="2" t="n">
        <v>217</v>
      </c>
      <c r="B218" s="2" t="n">
        <v>109</v>
      </c>
      <c r="C218" s="2" t="n">
        <v>1</v>
      </c>
    </row>
    <row r="219" customFormat="false" ht="15" hidden="false" customHeight="false" outlineLevel="0" collapsed="false">
      <c r="A219" s="2" t="n">
        <v>218</v>
      </c>
      <c r="B219" s="2" t="n">
        <v>109</v>
      </c>
      <c r="C219" s="2" t="n">
        <v>1</v>
      </c>
    </row>
    <row r="220" customFormat="false" ht="15" hidden="false" customHeight="false" outlineLevel="0" collapsed="false">
      <c r="A220" s="2" t="n">
        <v>219</v>
      </c>
      <c r="B220" s="2" t="n">
        <v>110</v>
      </c>
      <c r="C220" s="2" t="n">
        <v>1</v>
      </c>
    </row>
    <row r="221" customFormat="false" ht="15" hidden="false" customHeight="false" outlineLevel="0" collapsed="false">
      <c r="A221" s="2" t="n">
        <v>220</v>
      </c>
      <c r="B221" s="2" t="n">
        <v>110</v>
      </c>
      <c r="C221" s="2" t="n">
        <v>1</v>
      </c>
    </row>
    <row r="222" customFormat="false" ht="15" hidden="false" customHeight="false" outlineLevel="0" collapsed="false">
      <c r="A222" s="2" t="n">
        <v>221</v>
      </c>
      <c r="B222" s="2" t="n">
        <v>111</v>
      </c>
      <c r="C222" s="2" t="n">
        <v>1</v>
      </c>
    </row>
    <row r="223" customFormat="false" ht="15" hidden="false" customHeight="false" outlineLevel="0" collapsed="false">
      <c r="A223" s="2" t="n">
        <v>222</v>
      </c>
      <c r="B223" s="2" t="n">
        <v>111</v>
      </c>
      <c r="C223" s="2" t="n">
        <v>1</v>
      </c>
    </row>
    <row r="224" customFormat="false" ht="15" hidden="false" customHeight="false" outlineLevel="0" collapsed="false">
      <c r="A224" s="2" t="n">
        <v>223</v>
      </c>
      <c r="B224" s="2" t="n">
        <v>112</v>
      </c>
      <c r="C224" s="2" t="n">
        <v>1</v>
      </c>
    </row>
    <row r="225" customFormat="false" ht="15" hidden="false" customHeight="false" outlineLevel="0" collapsed="false">
      <c r="A225" s="2" t="n">
        <v>224</v>
      </c>
      <c r="B225" s="2" t="n">
        <v>112</v>
      </c>
      <c r="C225" s="2" t="n">
        <v>1</v>
      </c>
    </row>
    <row r="226" customFormat="false" ht="15" hidden="false" customHeight="false" outlineLevel="0" collapsed="false">
      <c r="A226" s="2" t="n">
        <v>225</v>
      </c>
      <c r="B226" s="2" t="n">
        <v>113</v>
      </c>
      <c r="C226" s="2" t="n">
        <v>1</v>
      </c>
    </row>
    <row r="227" customFormat="false" ht="15" hidden="false" customHeight="false" outlineLevel="0" collapsed="false">
      <c r="A227" s="2" t="n">
        <v>226</v>
      </c>
      <c r="B227" s="2" t="n">
        <v>113</v>
      </c>
      <c r="C227" s="2" t="n">
        <v>1</v>
      </c>
    </row>
    <row r="228" customFormat="false" ht="15" hidden="false" customHeight="false" outlineLevel="0" collapsed="false">
      <c r="A228" s="2" t="n">
        <v>227</v>
      </c>
      <c r="B228" s="2" t="n">
        <v>114</v>
      </c>
      <c r="C228" s="2" t="n">
        <v>1</v>
      </c>
    </row>
    <row r="229" customFormat="false" ht="15" hidden="false" customHeight="false" outlineLevel="0" collapsed="false">
      <c r="A229" s="2" t="n">
        <v>228</v>
      </c>
      <c r="B229" s="2" t="n">
        <v>114</v>
      </c>
      <c r="C229" s="2" t="n">
        <v>1</v>
      </c>
    </row>
    <row r="230" customFormat="false" ht="15" hidden="false" customHeight="false" outlineLevel="0" collapsed="false">
      <c r="A230" s="2" t="n">
        <v>229</v>
      </c>
      <c r="B230" s="2" t="n">
        <v>115</v>
      </c>
      <c r="C230" s="2" t="n">
        <v>1</v>
      </c>
    </row>
    <row r="231" customFormat="false" ht="15" hidden="false" customHeight="false" outlineLevel="0" collapsed="false">
      <c r="A231" s="2" t="n">
        <v>230</v>
      </c>
      <c r="B231" s="2" t="n">
        <v>115</v>
      </c>
      <c r="C231" s="2" t="n">
        <v>1</v>
      </c>
    </row>
    <row r="232" customFormat="false" ht="15" hidden="false" customHeight="false" outlineLevel="0" collapsed="false">
      <c r="A232" s="2" t="n">
        <v>231</v>
      </c>
      <c r="B232" s="2" t="n">
        <v>116</v>
      </c>
      <c r="C232" s="2" t="n">
        <v>1</v>
      </c>
    </row>
    <row r="233" customFormat="false" ht="15" hidden="false" customHeight="false" outlineLevel="0" collapsed="false">
      <c r="A233" s="2" t="n">
        <v>232</v>
      </c>
      <c r="B233" s="2" t="n">
        <v>116</v>
      </c>
      <c r="C233" s="2" t="n">
        <v>1</v>
      </c>
    </row>
    <row r="234" customFormat="false" ht="15" hidden="false" customHeight="false" outlineLevel="0" collapsed="false">
      <c r="A234" s="2" t="n">
        <v>233</v>
      </c>
      <c r="B234" s="2" t="n">
        <v>117</v>
      </c>
      <c r="C234" s="2" t="n">
        <v>1</v>
      </c>
    </row>
    <row r="235" customFormat="false" ht="15" hidden="false" customHeight="false" outlineLevel="0" collapsed="false">
      <c r="A235" s="2" t="n">
        <v>234</v>
      </c>
      <c r="B235" s="2" t="n">
        <v>117</v>
      </c>
      <c r="C235" s="2" t="n">
        <v>1</v>
      </c>
    </row>
    <row r="236" customFormat="false" ht="15" hidden="false" customHeight="false" outlineLevel="0" collapsed="false">
      <c r="A236" s="2" t="n">
        <v>235</v>
      </c>
      <c r="B236" s="2" t="n">
        <v>118</v>
      </c>
      <c r="C236" s="2" t="n">
        <v>1</v>
      </c>
    </row>
    <row r="237" customFormat="false" ht="15" hidden="false" customHeight="false" outlineLevel="0" collapsed="false">
      <c r="A237" s="2" t="n">
        <v>236</v>
      </c>
      <c r="B237" s="2" t="n">
        <v>118</v>
      </c>
      <c r="C237" s="2" t="n">
        <v>1</v>
      </c>
    </row>
    <row r="238" customFormat="false" ht="15" hidden="false" customHeight="false" outlineLevel="0" collapsed="false">
      <c r="A238" s="2" t="n">
        <v>237</v>
      </c>
      <c r="B238" s="2" t="n">
        <v>119</v>
      </c>
      <c r="C238" s="2" t="n">
        <v>1</v>
      </c>
    </row>
    <row r="239" customFormat="false" ht="15" hidden="false" customHeight="false" outlineLevel="0" collapsed="false">
      <c r="A239" s="2" t="n">
        <v>238</v>
      </c>
      <c r="B239" s="2" t="n">
        <v>119</v>
      </c>
      <c r="C239" s="2" t="n">
        <v>1</v>
      </c>
    </row>
    <row r="240" customFormat="false" ht="15" hidden="false" customHeight="false" outlineLevel="0" collapsed="false">
      <c r="A240" s="2" t="n">
        <v>239</v>
      </c>
      <c r="B240" s="2" t="n">
        <v>120</v>
      </c>
      <c r="C240" s="2" t="n">
        <v>1</v>
      </c>
    </row>
    <row r="241" customFormat="false" ht="15" hidden="false" customHeight="false" outlineLevel="0" collapsed="false">
      <c r="A241" s="2" t="n">
        <v>240</v>
      </c>
      <c r="B241" s="2" t="n">
        <v>120</v>
      </c>
      <c r="C241" s="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89</v>
      </c>
      <c r="B1" s="2"/>
      <c r="C1" s="2"/>
      <c r="D1" s="2"/>
      <c r="E1" s="2"/>
    </row>
    <row r="2" customFormat="false" ht="15" hidden="false" customHeight="false" outlineLevel="0" collapsed="false">
      <c r="A2" s="4" t="s">
        <v>90</v>
      </c>
      <c r="B2" s="4" t="s">
        <v>91</v>
      </c>
      <c r="C2" s="4" t="s">
        <v>92</v>
      </c>
      <c r="D2" s="4" t="s">
        <v>93</v>
      </c>
      <c r="E2" s="4" t="s">
        <v>94</v>
      </c>
    </row>
    <row r="3" customFormat="false" ht="15" hidden="false" customHeight="false" outlineLevel="0" collapsed="false">
      <c r="A3" s="2" t="s">
        <v>95</v>
      </c>
      <c r="B3" s="2" t="s">
        <v>96</v>
      </c>
      <c r="C3" s="2" t="n">
        <f aca="false">SUMIFS(LevelUpCosts!B:B,LevelUpCosts!A:A,"&gt;=10",LevelUpCosts!A:A,"&lt;=39")</f>
        <v>375</v>
      </c>
      <c r="D3" s="2" t="n">
        <f aca="false">SUMIFS(LevelUpCosts!B:B,LevelUpCosts!A:A,"&lt;=39")</f>
        <v>400</v>
      </c>
      <c r="E3" s="7" t="n">
        <f aca="false">D3/Sources!B22</f>
        <v>1.6</v>
      </c>
    </row>
    <row r="4" customFormat="false" ht="15" hidden="false" customHeight="false" outlineLevel="0" collapsed="false">
      <c r="A4" s="2" t="s">
        <v>97</v>
      </c>
      <c r="B4" s="2" t="s">
        <v>98</v>
      </c>
      <c r="C4" s="2" t="n">
        <f aca="false">SUMIFS(LevelUpCosts!B:B,LevelUpCosts!A:A,"&gt;=40",LevelUpCosts!A:A,"&lt;=79")</f>
        <v>1200</v>
      </c>
      <c r="D4" s="2" t="n">
        <f aca="false">SUMIFS(LevelUpCosts!B:B,LevelUpCosts!A:A,"&lt;=79")</f>
        <v>1600</v>
      </c>
      <c r="E4" s="7" t="n">
        <f aca="false">D4/Sources!B22</f>
        <v>6.4</v>
      </c>
    </row>
    <row r="5" customFormat="false" ht="15" hidden="false" customHeight="false" outlineLevel="0" collapsed="false">
      <c r="A5" s="2" t="s">
        <v>99</v>
      </c>
      <c r="B5" s="2" t="s">
        <v>100</v>
      </c>
      <c r="C5" s="2" t="n">
        <f aca="false">SUMIFS(LevelUpCosts!B:B,LevelUpCosts!A:A,"&gt;=80",LevelUpCosts!A:A,"&lt;=119")</f>
        <v>2000</v>
      </c>
      <c r="D5" s="2" t="n">
        <f aca="false">SUMIFS(LevelUpCosts!B:B,LevelUpCosts!A:A,"&lt;=119")</f>
        <v>3600</v>
      </c>
      <c r="E5" s="7" t="n">
        <f aca="false">D5/Sources!B22</f>
        <v>14.4</v>
      </c>
    </row>
    <row r="6" customFormat="false" ht="15" hidden="false" customHeight="false" outlineLevel="0" collapsed="false">
      <c r="A6" s="2" t="s">
        <v>101</v>
      </c>
      <c r="B6" s="2" t="s">
        <v>102</v>
      </c>
      <c r="C6" s="2" t="n">
        <f aca="false">SUMIFS(LevelUpCosts!B:B,LevelUpCosts!A:A,"&gt;=120",LevelUpCosts!A:A,"&lt;=159")</f>
        <v>2800</v>
      </c>
      <c r="D6" s="2" t="n">
        <f aca="false">SUMIFS(LevelUpCosts!B:B,LevelUpCosts!A:A,"&lt;=159")</f>
        <v>6400</v>
      </c>
      <c r="E6" s="7" t="n">
        <f aca="false">D6/Sources!B22</f>
        <v>25.6</v>
      </c>
    </row>
    <row r="7" customFormat="false" ht="15" hidden="false" customHeight="false" outlineLevel="0" collapsed="false">
      <c r="A7" s="2" t="s">
        <v>103</v>
      </c>
      <c r="B7" s="2" t="s">
        <v>104</v>
      </c>
      <c r="C7" s="2" t="n">
        <f aca="false">SUMIFS(LevelUpCosts!B:B,LevelUpCosts!A:A,"&gt;=160",LevelUpCosts!A:A,"&lt;=199")</f>
        <v>3600</v>
      </c>
      <c r="D7" s="2" t="n">
        <f aca="false">SUMIFS(LevelUpCosts!B:B,LevelUpCosts!A:A,"&lt;=199")</f>
        <v>10000</v>
      </c>
      <c r="E7" s="7" t="n">
        <f aca="false">D7/Sources!B22</f>
        <v>40</v>
      </c>
    </row>
    <row r="8" customFormat="false" ht="15" hidden="false" customHeight="false" outlineLevel="0" collapsed="false">
      <c r="A8" s="2" t="s">
        <v>105</v>
      </c>
      <c r="B8" s="2" t="s">
        <v>106</v>
      </c>
      <c r="C8" s="2" t="n">
        <f aca="false">SUMIFS(LevelUpCosts!B:B,LevelUpCosts!A:A,"&gt;=200",LevelUpCosts!A:A,"&lt;=239")</f>
        <v>4400</v>
      </c>
      <c r="D8" s="2" t="n">
        <f aca="false">SUMIFS(LevelUpCosts!B:B,LevelUpCosts!A:A,"&lt;=239")</f>
        <v>14400</v>
      </c>
      <c r="E8" s="7" t="n">
        <f aca="false">D8/Sources!B22</f>
        <v>57.6</v>
      </c>
    </row>
    <row r="9" customFormat="false" ht="15" hidden="false" customHeight="false" outlineLevel="0" collapsed="false">
      <c r="A9" s="3" t="s">
        <v>107</v>
      </c>
      <c r="B9" s="2"/>
      <c r="C9" s="2" t="n">
        <f aca="false">SUM(C3:C8)</f>
        <v>14375</v>
      </c>
      <c r="D9" s="2" t="n">
        <f aca="false">SUMIFS(LevelUpCosts!B:B,LevelUpCosts!A:A,"&lt;=240")</f>
        <v>14520</v>
      </c>
      <c r="E9" s="7" t="n">
        <f aca="false">D9/Sources!B22</f>
        <v>58.08</v>
      </c>
    </row>
    <row r="10" customFormat="false" ht="15" hidden="false" customHeight="false" outlineLevel="0" collapsed="false">
      <c r="A10" s="2"/>
      <c r="B10" s="2"/>
      <c r="C10" s="2"/>
      <c r="D10" s="2"/>
      <c r="E10" s="2"/>
    </row>
    <row r="11" customFormat="false" ht="15" hidden="false" customHeight="false" outlineLevel="0" collapsed="false">
      <c r="A11" s="2" t="s">
        <v>108</v>
      </c>
      <c r="B11" s="2"/>
      <c r="C11" s="2"/>
      <c r="D11" s="2"/>
      <c r="E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109</v>
      </c>
      <c r="B1" s="2"/>
      <c r="C1" s="2"/>
      <c r="D1" s="2"/>
      <c r="E1" s="2"/>
    </row>
    <row r="2" customFormat="false" ht="15" hidden="false" customHeight="false" outlineLevel="0" collapsed="false">
      <c r="A2" s="4" t="s">
        <v>110</v>
      </c>
      <c r="B2" s="4" t="s">
        <v>111</v>
      </c>
      <c r="C2" s="4" t="s">
        <v>112</v>
      </c>
      <c r="D2" s="4" t="s">
        <v>113</v>
      </c>
      <c r="E2" s="4" t="s">
        <v>23</v>
      </c>
    </row>
    <row r="3" customFormat="false" ht="15" hidden="false" customHeight="false" outlineLevel="0" collapsed="false">
      <c r="A3" s="2" t="s">
        <v>95</v>
      </c>
      <c r="B3" s="5" t="n">
        <v>100</v>
      </c>
      <c r="C3" s="7" t="n">
        <f aca="false">B3/Sources!B22</f>
        <v>0.4</v>
      </c>
      <c r="D3" s="2" t="n">
        <v>133</v>
      </c>
      <c r="E3" s="2"/>
    </row>
    <row r="4" customFormat="false" ht="15" hidden="false" customHeight="false" outlineLevel="0" collapsed="false">
      <c r="A4" s="2" t="s">
        <v>97</v>
      </c>
      <c r="B4" s="5" t="n">
        <v>200</v>
      </c>
      <c r="C4" s="7" t="n">
        <f aca="false">B4/Sources!B22</f>
        <v>0.8</v>
      </c>
      <c r="D4" s="2" t="n">
        <v>133</v>
      </c>
      <c r="E4" s="2"/>
    </row>
    <row r="5" customFormat="false" ht="15" hidden="false" customHeight="false" outlineLevel="0" collapsed="false">
      <c r="A5" s="2" t="s">
        <v>99</v>
      </c>
      <c r="B5" s="5" t="n">
        <v>400</v>
      </c>
      <c r="C5" s="7" t="n">
        <f aca="false">B5/Sources!B22</f>
        <v>1.6</v>
      </c>
      <c r="D5" s="2" t="n">
        <v>133</v>
      </c>
      <c r="E5" s="2"/>
    </row>
    <row r="6" customFormat="false" ht="15" hidden="false" customHeight="false" outlineLevel="0" collapsed="false">
      <c r="A6" s="2" t="s">
        <v>101</v>
      </c>
      <c r="B6" s="5" t="n">
        <v>800</v>
      </c>
      <c r="C6" s="7" t="n">
        <f aca="false">B6/Sources!B22</f>
        <v>3.2</v>
      </c>
      <c r="D6" s="2" t="n">
        <v>133</v>
      </c>
      <c r="E6" s="2"/>
    </row>
    <row r="7" customFormat="false" ht="15" hidden="false" customHeight="false" outlineLevel="0" collapsed="false">
      <c r="A7" s="2" t="s">
        <v>103</v>
      </c>
      <c r="B7" s="5" t="n">
        <v>1500</v>
      </c>
      <c r="C7" s="7" t="n">
        <f aca="false">B7/Sources!B22</f>
        <v>6</v>
      </c>
      <c r="D7" s="2" t="n">
        <v>133</v>
      </c>
      <c r="E7" s="2"/>
    </row>
    <row r="8" customFormat="false" ht="15" hidden="false" customHeight="false" outlineLevel="0" collapsed="false">
      <c r="A8" s="2" t="s">
        <v>105</v>
      </c>
      <c r="B8" s="5" t="n">
        <v>3000</v>
      </c>
      <c r="C8" s="7" t="n">
        <f aca="false">B8/Sources!B22</f>
        <v>12</v>
      </c>
      <c r="D8" s="2" t="n">
        <v>133</v>
      </c>
      <c r="E8" s="2"/>
    </row>
    <row r="9" customFormat="false" ht="15" hidden="false" customHeight="false" outlineLevel="0" collapsed="false">
      <c r="A9" s="2"/>
      <c r="B9" s="2"/>
      <c r="C9" s="2"/>
      <c r="D9" s="2"/>
      <c r="E9" s="2"/>
    </row>
    <row r="10" customFormat="false" ht="15" hidden="false" customHeight="false" outlineLevel="0" collapsed="false">
      <c r="A10" s="2" t="s">
        <v>114</v>
      </c>
      <c r="B10" s="2"/>
      <c r="C10" s="2"/>
      <c r="D10" s="2"/>
      <c r="E10" s="2"/>
    </row>
    <row r="11" customFormat="false" ht="15" hidden="false" customHeight="false" outlineLevel="0" collapsed="false">
      <c r="A11" s="2" t="s">
        <v>115</v>
      </c>
      <c r="B11" s="2"/>
      <c r="C11" s="2"/>
      <c r="D11" s="2"/>
      <c r="E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8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1" t="s">
        <v>116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4" t="s">
        <v>117</v>
      </c>
      <c r="B2" s="4" t="s">
        <v>118</v>
      </c>
      <c r="C2" s="4" t="s">
        <v>119</v>
      </c>
      <c r="D2" s="4" t="s">
        <v>21</v>
      </c>
      <c r="E2" s="4" t="s">
        <v>120</v>
      </c>
      <c r="F2" s="4" t="s">
        <v>121</v>
      </c>
    </row>
    <row r="3" customFormat="false" ht="15" hidden="false" customHeight="false" outlineLevel="0" collapsed="false">
      <c r="A3" s="2" t="s">
        <v>122</v>
      </c>
      <c r="B3" s="2" t="n">
        <v>1</v>
      </c>
      <c r="C3" s="2" t="n">
        <v>1</v>
      </c>
      <c r="D3" s="2" t="n">
        <v>300</v>
      </c>
      <c r="E3" s="2" t="n">
        <f aca="false">C3-B3+1</f>
        <v>1</v>
      </c>
      <c r="F3" s="2" t="n">
        <f aca="false">D3*E3</f>
        <v>300</v>
      </c>
    </row>
    <row r="4" customFormat="false" ht="15" hidden="false" customHeight="false" outlineLevel="0" collapsed="false">
      <c r="A4" s="2" t="s">
        <v>122</v>
      </c>
      <c r="B4" s="2" t="n">
        <v>2</v>
      </c>
      <c r="C4" s="2" t="n">
        <v>3</v>
      </c>
      <c r="D4" s="2" t="n">
        <v>150</v>
      </c>
      <c r="E4" s="2" t="n">
        <f aca="false">C4-B4+1</f>
        <v>2</v>
      </c>
      <c r="F4" s="2" t="n">
        <f aca="false">D4*E4</f>
        <v>300</v>
      </c>
    </row>
    <row r="5" customFormat="false" ht="15" hidden="false" customHeight="false" outlineLevel="0" collapsed="false">
      <c r="A5" s="2" t="s">
        <v>122</v>
      </c>
      <c r="B5" s="2" t="n">
        <v>4</v>
      </c>
      <c r="C5" s="2" t="n">
        <v>10</v>
      </c>
      <c r="D5" s="2" t="n">
        <v>50</v>
      </c>
      <c r="E5" s="2" t="n">
        <f aca="false">C5-B5+1</f>
        <v>7</v>
      </c>
      <c r="F5" s="2" t="n">
        <f aca="false">D5*E5</f>
        <v>350</v>
      </c>
    </row>
    <row r="6" customFormat="false" ht="15" hidden="false" customHeight="false" outlineLevel="0" collapsed="false">
      <c r="A6" s="2" t="s">
        <v>123</v>
      </c>
      <c r="B6" s="2" t="n">
        <v>1</v>
      </c>
      <c r="C6" s="2" t="n">
        <v>1</v>
      </c>
      <c r="D6" s="2" t="n">
        <v>500</v>
      </c>
      <c r="E6" s="2" t="n">
        <f aca="false">C6-B6+1</f>
        <v>1</v>
      </c>
      <c r="F6" s="2" t="n">
        <f aca="false">D6*E6</f>
        <v>500</v>
      </c>
    </row>
    <row r="7" customFormat="false" ht="15" hidden="false" customHeight="false" outlineLevel="0" collapsed="false">
      <c r="A7" s="2" t="s">
        <v>123</v>
      </c>
      <c r="B7" s="2" t="n">
        <v>2</v>
      </c>
      <c r="C7" s="2" t="n">
        <v>3</v>
      </c>
      <c r="D7" s="2" t="n">
        <v>300</v>
      </c>
      <c r="E7" s="2" t="n">
        <f aca="false">C7-B7+1</f>
        <v>2</v>
      </c>
      <c r="F7" s="2" t="n">
        <f aca="false">D7*E7</f>
        <v>600</v>
      </c>
    </row>
    <row r="8" customFormat="false" ht="15" hidden="false" customHeight="false" outlineLevel="0" collapsed="false">
      <c r="A8" s="2" t="s">
        <v>123</v>
      </c>
      <c r="B8" s="2" t="n">
        <v>4</v>
      </c>
      <c r="C8" s="2" t="n">
        <v>10</v>
      </c>
      <c r="D8" s="2" t="n">
        <v>100</v>
      </c>
      <c r="E8" s="2" t="n">
        <f aca="false">C8-B8+1</f>
        <v>7</v>
      </c>
      <c r="F8" s="2" t="n">
        <f aca="false">D8*E8</f>
        <v>700</v>
      </c>
    </row>
    <row r="9" customFormat="false" ht="15" hidden="false" customHeight="false" outlineLevel="0" collapsed="false">
      <c r="A9" s="2" t="s">
        <v>124</v>
      </c>
      <c r="B9" s="2" t="n">
        <v>1</v>
      </c>
      <c r="C9" s="2" t="n">
        <v>1</v>
      </c>
      <c r="D9" s="2" t="n">
        <v>2000</v>
      </c>
      <c r="E9" s="2" t="n">
        <f aca="false">C9-B9+1</f>
        <v>1</v>
      </c>
      <c r="F9" s="2" t="n">
        <f aca="false">D9*E9</f>
        <v>2000</v>
      </c>
    </row>
    <row r="10" customFormat="false" ht="15" hidden="false" customHeight="false" outlineLevel="0" collapsed="false">
      <c r="A10" s="2" t="s">
        <v>124</v>
      </c>
      <c r="B10" s="2" t="n">
        <v>2</v>
      </c>
      <c r="C10" s="2" t="n">
        <v>3</v>
      </c>
      <c r="D10" s="2" t="n">
        <v>1200</v>
      </c>
      <c r="E10" s="2" t="n">
        <f aca="false">C10-B10+1</f>
        <v>2</v>
      </c>
      <c r="F10" s="2" t="n">
        <f aca="false">D10*E10</f>
        <v>2400</v>
      </c>
    </row>
    <row r="11" customFormat="false" ht="15" hidden="false" customHeight="false" outlineLevel="0" collapsed="false">
      <c r="A11" s="2" t="s">
        <v>124</v>
      </c>
      <c r="B11" s="2" t="n">
        <v>4</v>
      </c>
      <c r="C11" s="2" t="n">
        <v>10</v>
      </c>
      <c r="D11" s="2" t="n">
        <v>500</v>
      </c>
      <c r="E11" s="2" t="n">
        <f aca="false">C11-B11+1</f>
        <v>7</v>
      </c>
      <c r="F11" s="2" t="n">
        <f aca="false">D11*E11</f>
        <v>3500</v>
      </c>
    </row>
    <row r="12" customFormat="false" ht="15" hidden="false" customHeight="false" outlineLevel="0" collapsed="false">
      <c r="A12" s="2" t="s">
        <v>124</v>
      </c>
      <c r="B12" s="2" t="n">
        <v>11</v>
      </c>
      <c r="C12" s="2" t="n">
        <v>50</v>
      </c>
      <c r="D12" s="2" t="n">
        <v>100</v>
      </c>
      <c r="E12" s="2" t="n">
        <f aca="false">C12-B12+1</f>
        <v>40</v>
      </c>
      <c r="F12" s="2" t="n">
        <f aca="false">D12*E12</f>
        <v>4000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</row>
    <row r="14" customFormat="false" ht="15" hidden="false" customHeight="false" outlineLevel="0" collapsed="false">
      <c r="A14" s="3" t="s">
        <v>125</v>
      </c>
      <c r="B14" s="2"/>
      <c r="C14" s="2"/>
      <c r="D14" s="2"/>
      <c r="E14" s="2"/>
      <c r="F14" s="2"/>
    </row>
    <row r="15" customFormat="false" ht="15" hidden="false" customHeight="false" outlineLevel="0" collapsed="false">
      <c r="A15" s="2" t="s">
        <v>122</v>
      </c>
      <c r="B15" s="2"/>
      <c r="C15" s="2"/>
      <c r="D15" s="2"/>
      <c r="E15" s="2"/>
      <c r="F15" s="2" t="n">
        <f aca="false">SUMIFS(F3:F12,A3:A12,"prize_small")</f>
        <v>950</v>
      </c>
    </row>
    <row r="16" customFormat="false" ht="15" hidden="false" customHeight="false" outlineLevel="0" collapsed="false">
      <c r="A16" s="2" t="s">
        <v>123</v>
      </c>
      <c r="B16" s="2"/>
      <c r="C16" s="2"/>
      <c r="D16" s="2"/>
      <c r="E16" s="2"/>
      <c r="F16" s="2" t="n">
        <f aca="false">SUMIFS(F3:F12,A3:A12,"prize_medium")</f>
        <v>1800</v>
      </c>
    </row>
    <row r="17" customFormat="false" ht="15" hidden="false" customHeight="false" outlineLevel="0" collapsed="false">
      <c r="A17" s="2" t="s">
        <v>124</v>
      </c>
      <c r="B17" s="2"/>
      <c r="C17" s="2"/>
      <c r="D17" s="2"/>
      <c r="E17" s="2"/>
      <c r="F17" s="2" t="n">
        <f aca="false">SUMIFS(F3:F12,A3:A12,"prize_major")</f>
        <v>11900</v>
      </c>
    </row>
    <row r="18" customFormat="false" ht="15" hidden="false" customHeight="false" outlineLevel="0" collapsed="false">
      <c r="A18" s="2" t="s">
        <v>126</v>
      </c>
      <c r="B18" s="2"/>
      <c r="C18" s="2"/>
      <c r="D18" s="2" t="n">
        <f aca="false">MAX(D3:D12)</f>
        <v>2000</v>
      </c>
      <c r="E18" s="2" t="s">
        <v>127</v>
      </c>
      <c r="F18" s="2" t="str">
        <f aca="false">IF(D18&lt;=2000,"OK","OVER CAP")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2" t="s">
        <v>129</v>
      </c>
    </row>
    <row r="3" customFormat="false" ht="15" hidden="false" customHeight="false" outlineLevel="0" collapsed="false">
      <c r="A3" s="2" t="s">
        <v>130</v>
      </c>
    </row>
    <row r="4" customFormat="false" ht="15" hidden="false" customHeight="false" outlineLevel="0" collapsed="false">
      <c r="A4" s="2" t="s">
        <v>131</v>
      </c>
    </row>
    <row r="5" customFormat="false" ht="15" hidden="false" customHeight="false" outlineLevel="0" collapsed="false">
      <c r="A5" s="2" t="s">
        <v>132</v>
      </c>
    </row>
    <row r="6" customFormat="false" ht="15" hidden="false" customHeight="false" outlineLevel="0" collapsed="false">
      <c r="A6" s="2" t="s">
        <v>133</v>
      </c>
    </row>
    <row r="7" customFormat="false" ht="15" hidden="false" customHeight="false" outlineLevel="0" collapsed="false">
      <c r="A7" s="2" t="s">
        <v>134</v>
      </c>
    </row>
    <row r="8" customFormat="false" ht="15" hidden="false" customHeight="false" outlineLevel="0" collapsed="false">
      <c r="A8" s="2" t="s">
        <v>135</v>
      </c>
    </row>
    <row r="9" customFormat="false" ht="15" hidden="false" customHeight="false" outlineLevel="0" collapsed="false">
      <c r="A9" s="2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2026-08-20T00:42:20Z</dcterms:created>
  <dc:creator>openpyxl</dc:creator>
  <dc:description/>
  <dc:language>en-US</dc:language>
  <cp:lastModifiedBy/>
  <dcterms:modified xsi:type="dcterms:W3CDTF">2026-08-20T00:42:20Z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